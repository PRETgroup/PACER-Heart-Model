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fen801\HeartModelPub\"/>
    </mc:Choice>
  </mc:AlternateContent>
  <xr:revisionPtr revIDLastSave="0" documentId="13_ncr:1_{710DD3C0-2B36-45A7-87B3-E5D250EC2729}" xr6:coauthVersionLast="47" xr6:coauthVersionMax="47" xr10:uidLastSave="{00000000-0000-0000-0000-000000000000}"/>
  <bookViews>
    <workbookView xWindow="43560" yWindow="2595" windowWidth="28905" windowHeight="16260" activeTab="1" xr2:uid="{81EF8390-3FB0-4307-8260-CAC33E855B7F}"/>
  </bookViews>
  <sheets>
    <sheet name="Node" sheetId="1" r:id="rId1"/>
    <sheet name="Path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" i="2" l="1"/>
  <c r="T2" i="2"/>
</calcChain>
</file>

<file path=xl/sharedStrings.xml><?xml version="1.0" encoding="utf-8"?>
<sst xmlns="http://schemas.openxmlformats.org/spreadsheetml/2006/main" count="87" uniqueCount="72">
  <si>
    <t>Node_name</t>
  </si>
  <si>
    <t>Type</t>
  </si>
  <si>
    <t>Index</t>
  </si>
  <si>
    <t>BCL</t>
  </si>
  <si>
    <t>SD</t>
  </si>
  <si>
    <t>f1</t>
  </si>
  <si>
    <t>f2</t>
  </si>
  <si>
    <t>sig1</t>
  </si>
  <si>
    <t>sig2</t>
  </si>
  <si>
    <t>d2</t>
  </si>
  <si>
    <t>ERP</t>
  </si>
  <si>
    <t>d0</t>
  </si>
  <si>
    <t>-APA</t>
  </si>
  <si>
    <t>VT</t>
  </si>
  <si>
    <t>VR</t>
  </si>
  <si>
    <t>Vh</t>
  </si>
  <si>
    <t>hr</t>
  </si>
  <si>
    <t>hs</t>
  </si>
  <si>
    <t>s</t>
  </si>
  <si>
    <t>j</t>
  </si>
  <si>
    <t>m</t>
  </si>
  <si>
    <t>h</t>
  </si>
  <si>
    <t>f</t>
  </si>
  <si>
    <t>r</t>
  </si>
  <si>
    <t>ax0</t>
  </si>
  <si>
    <t>ay0</t>
  </si>
  <si>
    <t>az0</t>
  </si>
  <si>
    <t>ax1</t>
  </si>
  <si>
    <t>ay1</t>
  </si>
  <si>
    <t>az1</t>
  </si>
  <si>
    <t>ax2</t>
  </si>
  <si>
    <t>ay2</t>
  </si>
  <si>
    <t>az2</t>
  </si>
  <si>
    <t>ax3</t>
  </si>
  <si>
    <t>ay3</t>
  </si>
  <si>
    <t>az3</t>
  </si>
  <si>
    <t>bx1</t>
  </si>
  <si>
    <t>by1</t>
  </si>
  <si>
    <t>bz1</t>
  </si>
  <si>
    <t>VO</t>
  </si>
  <si>
    <t>a</t>
  </si>
  <si>
    <t>b</t>
  </si>
  <si>
    <t>c</t>
  </si>
  <si>
    <t>d</t>
  </si>
  <si>
    <t>e</t>
  </si>
  <si>
    <t>x</t>
  </si>
  <si>
    <t>y</t>
  </si>
  <si>
    <t>Region</t>
  </si>
  <si>
    <t>APD90</t>
  </si>
  <si>
    <t>LVm1</t>
  </si>
  <si>
    <t>M</t>
  </si>
  <si>
    <t>LVm2</t>
  </si>
  <si>
    <t>LVm3</t>
  </si>
  <si>
    <t>Starti</t>
  </si>
  <si>
    <t>Endj</t>
  </si>
  <si>
    <t>Indexi</t>
  </si>
  <si>
    <t>Indexj</t>
  </si>
  <si>
    <t>CVi2j</t>
  </si>
  <si>
    <t>Dij</t>
  </si>
  <si>
    <t>aij</t>
  </si>
  <si>
    <t>bij</t>
  </si>
  <si>
    <t>cij</t>
  </si>
  <si>
    <t>CVj2i</t>
  </si>
  <si>
    <t>Dji</t>
  </si>
  <si>
    <t>aji</t>
  </si>
  <si>
    <t>bji</t>
  </si>
  <si>
    <t>cji</t>
  </si>
  <si>
    <t>C</t>
  </si>
  <si>
    <t>Distance</t>
  </si>
  <si>
    <t>A-Delay(ms)</t>
  </si>
  <si>
    <t>R-Delay(ms)</t>
  </si>
  <si>
    <t>Path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</si>
</sst>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1" xfId="0" applyFill="1" applyBorder="1" applyAlignment="1">
      <alignment horizontal="left" vertical="top"/>
    </xf>
    <xf numFmtId="0" fontId="0" fillId="2" borderId="1" xfId="0" quotePrefix="1" applyFill="1" applyBorder="1" applyAlignment="1">
      <alignment horizontal="left" vertical="top"/>
    </xf>
    <xf numFmtId="164" fontId="0" fillId="2" borderId="1" xfId="0" applyNumberFormat="1" applyFill="1" applyBorder="1" applyAlignment="1">
      <alignment horizontal="left" vertical="top"/>
    </xf>
    <xf numFmtId="0" fontId="0" fillId="3" borderId="0" xfId="0" applyFill="1"/>
    <xf numFmtId="0" fontId="0" fillId="4" borderId="1" xfId="0" applyFill="1" applyBorder="1" applyAlignment="1">
      <alignment horizontal="left" vertical="top"/>
    </xf>
    <xf numFmtId="0" fontId="1" fillId="4" borderId="1" xfId="0" applyFont="1" applyFill="1" applyBorder="1" applyAlignment="1">
      <alignment horizontal="left" vertical="top"/>
    </xf>
    <xf numFmtId="0" fontId="0" fillId="5" borderId="1" xfId="0" applyFill="1" applyBorder="1"/>
    <xf numFmtId="0" fontId="0" fillId="6" borderId="1" xfId="0" applyFill="1" applyBorder="1"/>
    <xf numFmtId="0" fontId="0" fillId="0" borderId="1" xfId="0" applyBorder="1" applyAlignment="1">
      <alignment horizontal="left" vertical="top"/>
    </xf>
    <xf numFmtId="2" fontId="1" fillId="0" borderId="1" xfId="0" applyNumberFormat="1" applyFont="1" applyBorder="1"/>
    <xf numFmtId="2" fontId="0" fillId="0" borderId="1" xfId="0" applyNumberFormat="1" applyBorder="1" applyAlignment="1">
      <alignment horizontal="left" vertical="top"/>
    </xf>
    <xf numFmtId="2" fontId="1" fillId="7" borderId="1" xfId="0" applyNumberFormat="1" applyFont="1" applyFill="1" applyBorder="1"/>
    <xf numFmtId="2" fontId="0" fillId="7" borderId="1" xfId="0" applyNumberForma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32E8B-6B50-4920-81A8-723FC5B8A695}">
  <dimension ref="A1:AZ4"/>
  <sheetViews>
    <sheetView workbookViewId="0">
      <selection activeCell="F24" sqref="F24"/>
    </sheetView>
  </sheetViews>
  <sheetFormatPr defaultRowHeight="14.5" x14ac:dyDescent="0.35"/>
  <sheetData>
    <row r="1" spans="1:5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14</v>
      </c>
      <c r="AO1" s="3" t="s">
        <v>13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10</v>
      </c>
    </row>
    <row r="2" spans="1:52" s="4" customFormat="1" x14ac:dyDescent="0.35">
      <c r="A2" s="4" t="s">
        <v>49</v>
      </c>
      <c r="B2" s="4" t="s">
        <v>50</v>
      </c>
      <c r="C2" s="4">
        <v>1</v>
      </c>
      <c r="Y2" s="4">
        <v>-8.6999999999999993</v>
      </c>
      <c r="Z2" s="4">
        <v>-190.89999999999998</v>
      </c>
      <c r="AA2" s="4">
        <v>-190.4</v>
      </c>
      <c r="AB2" s="4">
        <v>-23.599999999999998</v>
      </c>
      <c r="AC2" s="4">
        <v>-45.5</v>
      </c>
      <c r="AD2" s="4">
        <v>-12.9</v>
      </c>
      <c r="AE2" s="4">
        <v>-6.8999999999999995</v>
      </c>
      <c r="AF2" s="4">
        <v>75.899999999999991</v>
      </c>
      <c r="AG2" s="4">
        <v>6826.5</v>
      </c>
      <c r="AH2" s="4">
        <v>-17.809705166581999</v>
      </c>
      <c r="AI2" s="4">
        <v>13.971373768643099</v>
      </c>
      <c r="AJ2" s="4">
        <v>1.7832110055871</v>
      </c>
      <c r="AK2" s="4">
        <v>777.2</v>
      </c>
      <c r="AL2" s="4">
        <v>58.9</v>
      </c>
      <c r="AM2" s="4">
        <v>276.60000000000002</v>
      </c>
      <c r="AN2" s="4">
        <v>30</v>
      </c>
      <c r="AO2" s="4">
        <v>44.5</v>
      </c>
      <c r="AP2" s="4">
        <v>122.870184758603</v>
      </c>
      <c r="AQ2" s="4">
        <v>0.28999999999999998</v>
      </c>
      <c r="AR2" s="4">
        <v>62.89</v>
      </c>
      <c r="AS2" s="4">
        <v>0.7</v>
      </c>
      <c r="AT2" s="4">
        <v>10.99</v>
      </c>
      <c r="AU2" s="4">
        <v>0.04</v>
      </c>
      <c r="AV2" s="4">
        <v>60</v>
      </c>
      <c r="AW2" s="4">
        <v>60</v>
      </c>
      <c r="AY2" s="4">
        <v>277.60000000000002</v>
      </c>
      <c r="AZ2" s="4">
        <v>268.8</v>
      </c>
    </row>
    <row r="3" spans="1:52" s="4" customFormat="1" x14ac:dyDescent="0.35">
      <c r="A3" s="4" t="s">
        <v>51</v>
      </c>
      <c r="B3" s="4" t="s">
        <v>50</v>
      </c>
      <c r="C3" s="4">
        <v>2</v>
      </c>
      <c r="Y3" s="4">
        <v>-8.6999999999999993</v>
      </c>
      <c r="Z3" s="4">
        <v>-190.89999999999998</v>
      </c>
      <c r="AA3" s="4">
        <v>-190.4</v>
      </c>
      <c r="AB3" s="4">
        <v>-23.599999999999998</v>
      </c>
      <c r="AC3" s="4">
        <v>-45.5</v>
      </c>
      <c r="AD3" s="4">
        <v>-12.9</v>
      </c>
      <c r="AE3" s="4">
        <v>-6.8999999999999995</v>
      </c>
      <c r="AF3" s="4">
        <v>75.899999999999991</v>
      </c>
      <c r="AG3" s="4">
        <v>6826.5</v>
      </c>
      <c r="AH3" s="4">
        <v>-17.809705166581999</v>
      </c>
      <c r="AI3" s="4">
        <v>13.971373768643099</v>
      </c>
      <c r="AJ3" s="4">
        <v>1.7832110055871</v>
      </c>
      <c r="AK3" s="4">
        <v>777.2</v>
      </c>
      <c r="AL3" s="4">
        <v>58.9</v>
      </c>
      <c r="AM3" s="4">
        <v>276.60000000000002</v>
      </c>
      <c r="AN3" s="4">
        <v>30</v>
      </c>
      <c r="AO3" s="4">
        <v>44.5</v>
      </c>
      <c r="AP3" s="4">
        <v>122.870184758603</v>
      </c>
      <c r="AQ3" s="4">
        <v>0.28999999999999998</v>
      </c>
      <c r="AR3" s="4">
        <v>62.89</v>
      </c>
      <c r="AS3" s="4">
        <v>0.7</v>
      </c>
      <c r="AT3" s="4">
        <v>10.99</v>
      </c>
      <c r="AU3" s="4">
        <v>0.04</v>
      </c>
      <c r="AV3" s="4">
        <v>90</v>
      </c>
      <c r="AW3" s="4">
        <v>60</v>
      </c>
      <c r="AY3" s="4">
        <v>277.60000000000002</v>
      </c>
      <c r="AZ3" s="4">
        <v>268.8</v>
      </c>
    </row>
    <row r="4" spans="1:52" s="4" customFormat="1" x14ac:dyDescent="0.35">
      <c r="A4" s="4" t="s">
        <v>52</v>
      </c>
      <c r="B4" s="4" t="s">
        <v>50</v>
      </c>
      <c r="C4" s="4">
        <v>3</v>
      </c>
      <c r="Y4" s="4">
        <v>-8.6999999999999993</v>
      </c>
      <c r="Z4" s="4">
        <v>-190.89999999999998</v>
      </c>
      <c r="AA4" s="4">
        <v>-190.4</v>
      </c>
      <c r="AB4" s="4">
        <v>-23.599999999999998</v>
      </c>
      <c r="AC4" s="4">
        <v>-45.5</v>
      </c>
      <c r="AD4" s="4">
        <v>-12.9</v>
      </c>
      <c r="AE4" s="4">
        <v>-6.8999999999999995</v>
      </c>
      <c r="AF4" s="4">
        <v>75.899999999999991</v>
      </c>
      <c r="AG4" s="4">
        <v>6826.5</v>
      </c>
      <c r="AH4" s="4">
        <v>-17.809705166581999</v>
      </c>
      <c r="AI4" s="4">
        <v>13.971373768643099</v>
      </c>
      <c r="AJ4" s="4">
        <v>1.7832110055871</v>
      </c>
      <c r="AK4" s="4">
        <v>777.2</v>
      </c>
      <c r="AL4" s="4">
        <v>58.9</v>
      </c>
      <c r="AM4" s="4">
        <v>276.60000000000002</v>
      </c>
      <c r="AN4" s="4">
        <v>30</v>
      </c>
      <c r="AO4" s="4">
        <v>44.5</v>
      </c>
      <c r="AP4" s="4">
        <v>122.870184758603</v>
      </c>
      <c r="AQ4" s="4">
        <v>0.28999999999999998</v>
      </c>
      <c r="AR4" s="4">
        <v>62.89</v>
      </c>
      <c r="AS4" s="4">
        <v>0.7</v>
      </c>
      <c r="AT4" s="4">
        <v>10.99</v>
      </c>
      <c r="AU4" s="4">
        <v>0.04</v>
      </c>
      <c r="AV4" s="4">
        <v>120</v>
      </c>
      <c r="AW4" s="4">
        <v>60</v>
      </c>
      <c r="AY4" s="4">
        <v>277.60000000000002</v>
      </c>
      <c r="AZ4" s="4">
        <v>268.8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552D2-3A03-43F6-8D98-671934EB107C}">
  <dimension ref="A1:Y3"/>
  <sheetViews>
    <sheetView tabSelected="1" workbookViewId="0">
      <selection activeCell="Q7" sqref="Q7"/>
    </sheetView>
  </sheetViews>
  <sheetFormatPr defaultRowHeight="14.5" x14ac:dyDescent="0.35"/>
  <sheetData>
    <row r="1" spans="1:25" x14ac:dyDescent="0.35">
      <c r="A1" s="5" t="s">
        <v>53</v>
      </c>
      <c r="B1" s="5" t="s">
        <v>54</v>
      </c>
      <c r="C1" s="5" t="s">
        <v>55</v>
      </c>
      <c r="D1" s="5" t="s">
        <v>56</v>
      </c>
      <c r="E1" s="6" t="s">
        <v>57</v>
      </c>
      <c r="F1" s="5" t="s">
        <v>58</v>
      </c>
      <c r="G1" s="5" t="s">
        <v>59</v>
      </c>
      <c r="H1" s="5" t="s">
        <v>60</v>
      </c>
      <c r="I1" s="5" t="s">
        <v>61</v>
      </c>
      <c r="J1" s="5" t="s">
        <v>62</v>
      </c>
      <c r="K1" s="5" t="s">
        <v>63</v>
      </c>
      <c r="L1" s="5" t="s">
        <v>64</v>
      </c>
      <c r="M1" s="5" t="s">
        <v>65</v>
      </c>
      <c r="N1" s="5" t="s">
        <v>66</v>
      </c>
      <c r="O1" s="5" t="s">
        <v>67</v>
      </c>
      <c r="P1" s="7" t="s">
        <v>45</v>
      </c>
      <c r="Q1" s="7" t="s">
        <v>46</v>
      </c>
      <c r="R1" s="7" t="s">
        <v>45</v>
      </c>
      <c r="S1" s="7" t="s">
        <v>46</v>
      </c>
      <c r="T1" s="7" t="s">
        <v>68</v>
      </c>
      <c r="U1" s="7" t="s">
        <v>69</v>
      </c>
      <c r="V1" s="7" t="s">
        <v>70</v>
      </c>
      <c r="W1" s="7" t="s">
        <v>71</v>
      </c>
      <c r="X1" s="7" t="s">
        <v>69</v>
      </c>
      <c r="Y1" s="7" t="s">
        <v>70</v>
      </c>
    </row>
    <row r="2" spans="1:25" x14ac:dyDescent="0.35">
      <c r="A2" s="8" t="s">
        <v>49</v>
      </c>
      <c r="B2" s="7" t="s">
        <v>51</v>
      </c>
      <c r="C2" s="9">
        <v>1</v>
      </c>
      <c r="D2" s="9">
        <v>2</v>
      </c>
      <c r="E2" s="10">
        <v>1000</v>
      </c>
      <c r="F2" s="11">
        <v>1</v>
      </c>
      <c r="G2" s="11">
        <v>0.3</v>
      </c>
      <c r="H2" s="11">
        <v>62.89</v>
      </c>
      <c r="I2" s="11">
        <v>10.99</v>
      </c>
      <c r="J2" s="12">
        <v>1000</v>
      </c>
      <c r="K2" s="13">
        <v>1</v>
      </c>
      <c r="L2" s="13">
        <v>0.3</v>
      </c>
      <c r="M2" s="13">
        <v>62.89</v>
      </c>
      <c r="N2" s="13">
        <v>10.99</v>
      </c>
      <c r="O2" s="9">
        <v>50</v>
      </c>
      <c r="P2" s="7">
        <v>60</v>
      </c>
      <c r="Q2" s="7">
        <v>60</v>
      </c>
      <c r="R2" s="7">
        <v>90</v>
      </c>
      <c r="S2" s="7">
        <v>60</v>
      </c>
      <c r="T2" s="7">
        <f>SQRT((R2-P2)^2 + (S2-Q2)^2)</f>
        <v>30</v>
      </c>
      <c r="U2" s="7">
        <v>3.7787828728308798E-2</v>
      </c>
      <c r="V2" s="7">
        <v>3.7787828728308805E-2</v>
      </c>
    </row>
    <row r="3" spans="1:25" x14ac:dyDescent="0.35">
      <c r="A3" s="8" t="s">
        <v>51</v>
      </c>
      <c r="B3" s="7" t="s">
        <v>52</v>
      </c>
      <c r="C3" s="9">
        <v>2</v>
      </c>
      <c r="D3" s="9">
        <v>3</v>
      </c>
      <c r="E3" s="10">
        <v>1000</v>
      </c>
      <c r="F3" s="11">
        <v>1</v>
      </c>
      <c r="G3" s="11">
        <v>0.3</v>
      </c>
      <c r="H3" s="11">
        <v>62.89</v>
      </c>
      <c r="I3" s="11">
        <v>10.99</v>
      </c>
      <c r="J3" s="12">
        <v>1000</v>
      </c>
      <c r="K3" s="13">
        <v>1</v>
      </c>
      <c r="L3" s="13">
        <v>0.3</v>
      </c>
      <c r="M3" s="13">
        <v>62.89</v>
      </c>
      <c r="N3" s="13">
        <v>10.99</v>
      </c>
      <c r="O3" s="9">
        <v>50</v>
      </c>
      <c r="P3" s="7">
        <v>90</v>
      </c>
      <c r="Q3" s="7">
        <v>60</v>
      </c>
      <c r="R3" s="7">
        <v>120</v>
      </c>
      <c r="S3" s="7">
        <v>60</v>
      </c>
      <c r="T3" s="7">
        <f>SQRT((R3-P3)^2 + (S3-Q3)^2)</f>
        <v>30</v>
      </c>
      <c r="U3" s="7">
        <v>3.7787828728308805E-2</v>
      </c>
      <c r="V3" s="7">
        <v>3.7787828728308805E-2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Node</vt:lpstr>
      <vt:lpstr>Path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Rory Fenwick-Rose</dc:creator>
  <cp:lastModifiedBy>Rory Fenwick-Rose</cp:lastModifiedBy>
  <dcterms:created xsi:type="dcterms:W3CDTF">2025-12-09T21:28:54Z</dcterms:created>
  <dcterms:modified xsi:type="dcterms:W3CDTF">2025-12-09T21:34:16Z</dcterms:modified>
</cp:coreProperties>
</file>