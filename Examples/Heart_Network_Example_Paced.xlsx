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fen801\HeartModelPub\"/>
    </mc:Choice>
  </mc:AlternateContent>
  <xr:revisionPtr revIDLastSave="0" documentId="13_ncr:1_{698AE6B3-4597-4B38-9CEA-33A764551095}" xr6:coauthVersionLast="47" xr6:coauthVersionMax="47" xr10:uidLastSave="{00000000-0000-0000-0000-000000000000}"/>
  <bookViews>
    <workbookView xWindow="44235" yWindow="3480" windowWidth="28995" windowHeight="16875" activeTab="2" xr2:uid="{81EF8390-3FB0-4307-8260-CAC33E855B7F}"/>
  </bookViews>
  <sheets>
    <sheet name="Node" sheetId="1" r:id="rId1"/>
    <sheet name="Path" sheetId="2" r:id="rId2"/>
    <sheet name="Probe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J7" i="3"/>
  <c r="I7" i="3"/>
  <c r="F7" i="3"/>
  <c r="J6" i="3"/>
  <c r="I6" i="3"/>
  <c r="F6" i="3"/>
  <c r="F4" i="3"/>
  <c r="J3" i="3"/>
  <c r="I3" i="3"/>
  <c r="F3" i="3"/>
  <c r="J2" i="3"/>
  <c r="I2" i="3"/>
  <c r="F2" i="3"/>
  <c r="T3" i="2" l="1"/>
  <c r="T2" i="2"/>
</calcChain>
</file>

<file path=xl/sharedStrings.xml><?xml version="1.0" encoding="utf-8"?>
<sst xmlns="http://schemas.openxmlformats.org/spreadsheetml/2006/main" count="110" uniqueCount="88">
  <si>
    <t>Node_name</t>
  </si>
  <si>
    <t>Type</t>
  </si>
  <si>
    <t>Index</t>
  </si>
  <si>
    <t>BCL</t>
  </si>
  <si>
    <t>SD</t>
  </si>
  <si>
    <t>f1</t>
  </si>
  <si>
    <t>f2</t>
  </si>
  <si>
    <t>sig1</t>
  </si>
  <si>
    <t>sig2</t>
  </si>
  <si>
    <t>d2</t>
  </si>
  <si>
    <t>ERP</t>
  </si>
  <si>
    <t>d0</t>
  </si>
  <si>
    <t>-APA</t>
  </si>
  <si>
    <t>VT</t>
  </si>
  <si>
    <t>VR</t>
  </si>
  <si>
    <t>Vh</t>
  </si>
  <si>
    <t>hr</t>
  </si>
  <si>
    <t>hs</t>
  </si>
  <si>
    <t>s</t>
  </si>
  <si>
    <t>j</t>
  </si>
  <si>
    <t>m</t>
  </si>
  <si>
    <t>h</t>
  </si>
  <si>
    <t>f</t>
  </si>
  <si>
    <t>r</t>
  </si>
  <si>
    <t>ax0</t>
  </si>
  <si>
    <t>ay0</t>
  </si>
  <si>
    <t>az0</t>
  </si>
  <si>
    <t>ax1</t>
  </si>
  <si>
    <t>ay1</t>
  </si>
  <si>
    <t>az1</t>
  </si>
  <si>
    <t>ax2</t>
  </si>
  <si>
    <t>ay2</t>
  </si>
  <si>
    <t>az2</t>
  </si>
  <si>
    <t>ax3</t>
  </si>
  <si>
    <t>ay3</t>
  </si>
  <si>
    <t>az3</t>
  </si>
  <si>
    <t>bx1</t>
  </si>
  <si>
    <t>by1</t>
  </si>
  <si>
    <t>bz1</t>
  </si>
  <si>
    <t>VO</t>
  </si>
  <si>
    <t>a</t>
  </si>
  <si>
    <t>b</t>
  </si>
  <si>
    <t>c</t>
  </si>
  <si>
    <t>d</t>
  </si>
  <si>
    <t>e</t>
  </si>
  <si>
    <t>x</t>
  </si>
  <si>
    <t>y</t>
  </si>
  <si>
    <t>Region</t>
  </si>
  <si>
    <t>APD90</t>
  </si>
  <si>
    <t>LVm1</t>
  </si>
  <si>
    <t>M</t>
  </si>
  <si>
    <t>LVm2</t>
  </si>
  <si>
    <t>LVm3</t>
  </si>
  <si>
    <t>Starti</t>
  </si>
  <si>
    <t>Endj</t>
  </si>
  <si>
    <t>Indexi</t>
  </si>
  <si>
    <t>Indexj</t>
  </si>
  <si>
    <t>CVi2j</t>
  </si>
  <si>
    <t>Dij</t>
  </si>
  <si>
    <t>aij</t>
  </si>
  <si>
    <t>bij</t>
  </si>
  <si>
    <t>cij</t>
  </si>
  <si>
    <t>CVj2i</t>
  </si>
  <si>
    <t>Dji</t>
  </si>
  <si>
    <t>aji</t>
  </si>
  <si>
    <t>bji</t>
  </si>
  <si>
    <t>cji</t>
  </si>
  <si>
    <t>C</t>
  </si>
  <si>
    <t>Distance</t>
  </si>
  <si>
    <t>A-Delay(ms)</t>
  </si>
  <si>
    <t>R-Delay(ms)</t>
  </si>
  <si>
    <t>Path</t>
  </si>
  <si>
    <t>Name</t>
  </si>
  <si>
    <t>z</t>
  </si>
  <si>
    <t>Aring</t>
  </si>
  <si>
    <t>Adrt</t>
  </si>
  <si>
    <t>RA_a</t>
  </si>
  <si>
    <t>Alring</t>
  </si>
  <si>
    <t>RA</t>
  </si>
  <si>
    <t>Atip</t>
  </si>
  <si>
    <t>Altip</t>
  </si>
  <si>
    <t>Vring</t>
  </si>
  <si>
    <t>Vdrt</t>
  </si>
  <si>
    <t>RBB_m</t>
  </si>
  <si>
    <t>Vlring</t>
  </si>
  <si>
    <t>RVA</t>
  </si>
  <si>
    <t>Vtip</t>
  </si>
  <si>
    <t>Vltip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</si>
</sst>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quotePrefix="1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  <xf numFmtId="0" fontId="0" fillId="3" borderId="0" xfId="0" applyFill="1"/>
    <xf numFmtId="0" fontId="0" fillId="4" borderId="1" xfId="0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left" vertical="top"/>
    </xf>
    <xf numFmtId="2" fontId="1" fillId="0" borderId="1" xfId="0" applyNumberFormat="1" applyFont="1" applyBorder="1"/>
    <xf numFmtId="2" fontId="0" fillId="0" borderId="1" xfId="0" applyNumberFormat="1" applyBorder="1" applyAlignment="1">
      <alignment horizontal="left" vertical="top"/>
    </xf>
    <xf numFmtId="2" fontId="1" fillId="7" borderId="1" xfId="0" applyNumberFormat="1" applyFont="1" applyFill="1" applyBorder="1"/>
    <xf numFmtId="2" fontId="0" fillId="7" borderId="1" xfId="0" applyNumberFormat="1" applyFill="1" applyBorder="1" applyAlignment="1">
      <alignment horizontal="left" vertical="top"/>
    </xf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fen801\HeartModelPub\src\Heart_N3_second.xlsx" TargetMode="External"/><Relationship Id="rId1" Type="http://schemas.openxmlformats.org/officeDocument/2006/relationships/externalLinkPath" Target="src/Heart_N3_seco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de_second"/>
      <sheetName val="Node"/>
      <sheetName val="Path_second"/>
      <sheetName val="Path"/>
      <sheetName val="Probe"/>
      <sheetName val="Upenn"/>
      <sheetName val="node_position"/>
      <sheetName val="ERP"/>
      <sheetName val="Sheet1"/>
      <sheetName val="Sheet2"/>
    </sheetNames>
    <sheetDataSet>
      <sheetData sheetId="0"/>
      <sheetData sheetId="1">
        <row r="1">
          <cell r="A1" t="str">
            <v>Node_name</v>
          </cell>
          <cell r="B1" t="str">
            <v>Type</v>
          </cell>
          <cell r="C1" t="str">
            <v>Index</v>
          </cell>
          <cell r="D1" t="str">
            <v>BCL</v>
          </cell>
          <cell r="E1" t="str">
            <v>SD</v>
          </cell>
          <cell r="F1" t="str">
            <v>f1</v>
          </cell>
          <cell r="G1" t="str">
            <v>f2</v>
          </cell>
          <cell r="H1" t="str">
            <v>sig1</v>
          </cell>
          <cell r="I1" t="str">
            <v>sig2</v>
          </cell>
          <cell r="J1" t="str">
            <v>d2</v>
          </cell>
          <cell r="K1" t="str">
            <v>ERP</v>
          </cell>
          <cell r="L1" t="str">
            <v>d0</v>
          </cell>
          <cell r="M1" t="str">
            <v>-APA</v>
          </cell>
          <cell r="N1" t="str">
            <v>VT</v>
          </cell>
          <cell r="O1" t="str">
            <v>VR</v>
          </cell>
          <cell r="P1" t="str">
            <v>Vh</v>
          </cell>
          <cell r="Q1" t="str">
            <v>hr</v>
          </cell>
          <cell r="R1" t="str">
            <v>hs</v>
          </cell>
          <cell r="S1" t="str">
            <v>s</v>
          </cell>
          <cell r="T1" t="str">
            <v>j</v>
          </cell>
          <cell r="U1" t="str">
            <v>m</v>
          </cell>
          <cell r="V1" t="str">
            <v>h</v>
          </cell>
          <cell r="W1" t="str">
            <v>f</v>
          </cell>
          <cell r="X1" t="str">
            <v>r</v>
          </cell>
          <cell r="Y1" t="str">
            <v>ax0</v>
          </cell>
          <cell r="Z1" t="str">
            <v>ay0</v>
          </cell>
          <cell r="AA1" t="str">
            <v>az0</v>
          </cell>
          <cell r="AB1" t="str">
            <v>ax1</v>
          </cell>
          <cell r="AC1" t="str">
            <v>ay1</v>
          </cell>
          <cell r="AD1" t="str">
            <v>az1</v>
          </cell>
          <cell r="AE1" t="str">
            <v>ax2</v>
          </cell>
          <cell r="AF1" t="str">
            <v>ay2</v>
          </cell>
          <cell r="AG1" t="str">
            <v>az2</v>
          </cell>
          <cell r="AH1" t="str">
            <v>ax3</v>
          </cell>
          <cell r="AI1" t="str">
            <v>ay3</v>
          </cell>
          <cell r="AJ1" t="str">
            <v>az3</v>
          </cell>
          <cell r="AK1" t="str">
            <v>bx1</v>
          </cell>
          <cell r="AL1" t="str">
            <v>by1</v>
          </cell>
          <cell r="AM1" t="str">
            <v>bz1</v>
          </cell>
          <cell r="AN1" t="str">
            <v>VR</v>
          </cell>
          <cell r="AO1" t="str">
            <v>VT</v>
          </cell>
          <cell r="AP1" t="str">
            <v>VO</v>
          </cell>
          <cell r="AQ1" t="str">
            <v>a</v>
          </cell>
          <cell r="AR1" t="str">
            <v>b</v>
          </cell>
          <cell r="AS1" t="str">
            <v>c</v>
          </cell>
          <cell r="AT1" t="str">
            <v>d</v>
          </cell>
          <cell r="AU1" t="str">
            <v>e</v>
          </cell>
          <cell r="AV1" t="str">
            <v>x</v>
          </cell>
          <cell r="AW1" t="str">
            <v>y</v>
          </cell>
        </row>
        <row r="2">
          <cell r="A2" t="str">
            <v>SA</v>
          </cell>
          <cell r="B2" t="str">
            <v>N</v>
          </cell>
          <cell r="C2">
            <v>1</v>
          </cell>
          <cell r="D2">
            <v>814</v>
          </cell>
          <cell r="E2">
            <v>2</v>
          </cell>
          <cell r="F2">
            <v>0.1</v>
          </cell>
          <cell r="G2">
            <v>0.25</v>
          </cell>
          <cell r="H2">
            <v>3.5000000000000001E-3</v>
          </cell>
          <cell r="I2">
            <v>7.0000000000000001E-3</v>
          </cell>
          <cell r="J2">
            <v>1.2809999999999999</v>
          </cell>
          <cell r="K2">
            <v>161.5</v>
          </cell>
          <cell r="L2">
            <v>-0.7732</v>
          </cell>
          <cell r="M2">
            <v>-85.3</v>
          </cell>
          <cell r="N2">
            <v>23.81</v>
          </cell>
          <cell r="O2">
            <v>47.94</v>
          </cell>
          <cell r="P2">
            <v>-4</v>
          </cell>
          <cell r="Q2">
            <v>0.1</v>
          </cell>
          <cell r="R2">
            <v>35</v>
          </cell>
          <cell r="S2">
            <v>5</v>
          </cell>
          <cell r="T2">
            <v>0</v>
          </cell>
          <cell r="U2">
            <v>1</v>
          </cell>
          <cell r="V2">
            <v>0.2</v>
          </cell>
          <cell r="W2">
            <v>0.1</v>
          </cell>
          <cell r="X2">
            <v>0.5</v>
          </cell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>
            <v>54.2</v>
          </cell>
          <cell r="AW2">
            <v>118.2</v>
          </cell>
        </row>
        <row r="3">
          <cell r="A3" t="str">
            <v>SA_a</v>
          </cell>
          <cell r="B3" t="str">
            <v>M</v>
          </cell>
          <cell r="C3">
            <v>2</v>
          </cell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>
            <v>-0.103765168727061</v>
          </cell>
          <cell r="Z3">
            <v>-3.1471897227669299E-2</v>
          </cell>
          <cell r="AA3">
            <v>-1.9867289355374199E-2</v>
          </cell>
          <cell r="AB3">
            <v>-2.3599999999999999E-2</v>
          </cell>
          <cell r="AC3">
            <v>-4.5499999999999999E-2</v>
          </cell>
          <cell r="AD3">
            <v>-1.29E-2</v>
          </cell>
          <cell r="AE3">
            <v>-6.8999999999999999E-3</v>
          </cell>
          <cell r="AF3">
            <v>7.5899999999999995E-2</v>
          </cell>
          <cell r="AG3">
            <v>6.8265000000000002</v>
          </cell>
          <cell r="AH3">
            <v>-0.27112892991402199</v>
          </cell>
          <cell r="AI3">
            <v>1.3131104586741001E-2</v>
          </cell>
          <cell r="AJ3">
            <v>2.02454412350966E-4</v>
          </cell>
          <cell r="AK3">
            <v>0.7772</v>
          </cell>
          <cell r="AL3">
            <v>5.8900000000000001E-2</v>
          </cell>
          <cell r="AM3">
            <v>0.27660000000000001</v>
          </cell>
          <cell r="AN3">
            <v>40.576245761527801</v>
          </cell>
          <cell r="AO3">
            <v>44.5</v>
          </cell>
          <cell r="AP3">
            <v>112.44762511774699</v>
          </cell>
          <cell r="AQ3">
            <v>0.28999999999999998</v>
          </cell>
          <cell r="AR3">
            <v>62.89</v>
          </cell>
          <cell r="AS3">
            <v>0.7</v>
          </cell>
          <cell r="AT3">
            <v>10.99</v>
          </cell>
          <cell r="AU3">
            <v>0.04</v>
          </cell>
          <cell r="AV3">
            <v>57.866666666666667</v>
          </cell>
          <cell r="AW3">
            <v>119.83333333333334</v>
          </cell>
        </row>
        <row r="4">
          <cell r="A4" t="str">
            <v>SA_b</v>
          </cell>
          <cell r="B4" t="str">
            <v>M</v>
          </cell>
          <cell r="C4">
            <v>3</v>
          </cell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>
            <v>-0.103765168727061</v>
          </cell>
          <cell r="Z4">
            <v>-3.1471897227669299E-2</v>
          </cell>
          <cell r="AA4">
            <v>-1.9867289355374199E-2</v>
          </cell>
          <cell r="AB4">
            <v>-2.3599999999999999E-2</v>
          </cell>
          <cell r="AC4">
            <v>-4.5499999999999999E-2</v>
          </cell>
          <cell r="AD4">
            <v>-1.29E-2</v>
          </cell>
          <cell r="AE4">
            <v>-6.8999999999999999E-3</v>
          </cell>
          <cell r="AF4">
            <v>7.5899999999999995E-2</v>
          </cell>
          <cell r="AG4">
            <v>6.8265000000000002</v>
          </cell>
          <cell r="AH4">
            <v>-0.27112892991402199</v>
          </cell>
          <cell r="AI4">
            <v>1.3131104586741001E-2</v>
          </cell>
          <cell r="AJ4">
            <v>2.02454412350966E-4</v>
          </cell>
          <cell r="AK4">
            <v>0.7772</v>
          </cell>
          <cell r="AL4">
            <v>5.8900000000000001E-2</v>
          </cell>
          <cell r="AM4">
            <v>0.27660000000000001</v>
          </cell>
          <cell r="AN4">
            <v>40.576245761527801</v>
          </cell>
          <cell r="AO4">
            <v>44.5</v>
          </cell>
          <cell r="AP4">
            <v>112.44762511774699</v>
          </cell>
          <cell r="AQ4">
            <v>0.28999999999999998</v>
          </cell>
          <cell r="AR4">
            <v>62.89</v>
          </cell>
          <cell r="AS4">
            <v>0.7</v>
          </cell>
          <cell r="AT4">
            <v>10.99</v>
          </cell>
          <cell r="AU4">
            <v>0.04</v>
          </cell>
          <cell r="AV4">
            <v>57.400000000000006</v>
          </cell>
          <cell r="AW4">
            <v>118.2</v>
          </cell>
        </row>
        <row r="5">
          <cell r="A5" t="str">
            <v>SA_c</v>
          </cell>
          <cell r="B5" t="str">
            <v>M</v>
          </cell>
          <cell r="C5">
            <v>4</v>
          </cell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>
            <v>-0.103765168727061</v>
          </cell>
          <cell r="Z5">
            <v>-3.1471897227669299E-2</v>
          </cell>
          <cell r="AA5">
            <v>-1.9867289355374199E-2</v>
          </cell>
          <cell r="AB5">
            <v>-2.3599999999999999E-2</v>
          </cell>
          <cell r="AC5">
            <v>-4.5499999999999999E-2</v>
          </cell>
          <cell r="AD5">
            <v>-1.29E-2</v>
          </cell>
          <cell r="AE5">
            <v>-6.8999999999999999E-3</v>
          </cell>
          <cell r="AF5">
            <v>7.5899999999999995E-2</v>
          </cell>
          <cell r="AG5">
            <v>6.8265000000000002</v>
          </cell>
          <cell r="AH5">
            <v>-0.27112892991402199</v>
          </cell>
          <cell r="AI5">
            <v>1.3131104586741001E-2</v>
          </cell>
          <cell r="AJ5">
            <v>2.02454412350966E-4</v>
          </cell>
          <cell r="AK5">
            <v>0.7772</v>
          </cell>
          <cell r="AL5">
            <v>5.8900000000000001E-2</v>
          </cell>
          <cell r="AM5">
            <v>0.27660000000000001</v>
          </cell>
          <cell r="AN5">
            <v>40.576245761527801</v>
          </cell>
          <cell r="AO5">
            <v>44.5</v>
          </cell>
          <cell r="AP5">
            <v>112.44762511774699</v>
          </cell>
          <cell r="AQ5">
            <v>0.28999999999999998</v>
          </cell>
          <cell r="AR5">
            <v>62.89</v>
          </cell>
          <cell r="AS5">
            <v>0.7</v>
          </cell>
          <cell r="AT5">
            <v>10.99</v>
          </cell>
          <cell r="AU5">
            <v>0.04</v>
          </cell>
          <cell r="AV5">
            <v>56.6</v>
          </cell>
          <cell r="AW5">
            <v>115.64</v>
          </cell>
        </row>
        <row r="6">
          <cell r="A6" t="str">
            <v>SA_d</v>
          </cell>
          <cell r="B6" t="str">
            <v>NM</v>
          </cell>
          <cell r="C6">
            <v>5</v>
          </cell>
          <cell r="D6">
            <v>2100</v>
          </cell>
          <cell r="E6">
            <v>2</v>
          </cell>
          <cell r="F6">
            <v>0.1</v>
          </cell>
          <cell r="G6">
            <v>0.25</v>
          </cell>
          <cell r="H6">
            <v>3.5000000000000001E-3</v>
          </cell>
          <cell r="I6">
            <v>7.0000000000000001E-3</v>
          </cell>
          <cell r="J6">
            <v>3.34</v>
          </cell>
          <cell r="K6">
            <v>108</v>
          </cell>
          <cell r="L6">
            <v>-0.94479999999999997</v>
          </cell>
          <cell r="M6">
            <v>-74.650000000000006</v>
          </cell>
          <cell r="N6">
            <v>25.05</v>
          </cell>
          <cell r="O6">
            <v>41.25</v>
          </cell>
          <cell r="P6">
            <v>-15</v>
          </cell>
          <cell r="Q6">
            <v>0.1</v>
          </cell>
          <cell r="R6">
            <v>35</v>
          </cell>
          <cell r="S6">
            <v>5</v>
          </cell>
          <cell r="T6">
            <v>2</v>
          </cell>
          <cell r="U6">
            <v>1</v>
          </cell>
          <cell r="V6">
            <v>0</v>
          </cell>
          <cell r="W6">
            <v>0</v>
          </cell>
          <cell r="X6">
            <v>0.5</v>
          </cell>
          <cell r="Y6">
            <v>-0.103765168727061</v>
          </cell>
          <cell r="Z6">
            <v>-3.1471897227669299E-2</v>
          </cell>
          <cell r="AA6">
            <v>-1.9867289355374199E-2</v>
          </cell>
          <cell r="AB6">
            <v>-2.3599999999999999E-2</v>
          </cell>
          <cell r="AC6">
            <v>-4.5499999999999999E-2</v>
          </cell>
          <cell r="AD6">
            <v>-1.29E-2</v>
          </cell>
          <cell r="AE6">
            <v>-6.8999999999999999E-3</v>
          </cell>
          <cell r="AF6">
            <v>7.5899999999999995E-2</v>
          </cell>
          <cell r="AG6">
            <v>6.8265000000000002</v>
          </cell>
          <cell r="AH6">
            <v>-0.27112892991402199</v>
          </cell>
          <cell r="AI6">
            <v>1.3131104586741001E-2</v>
          </cell>
          <cell r="AJ6">
            <v>2.02454412350966E-4</v>
          </cell>
          <cell r="AK6">
            <v>0.7772</v>
          </cell>
          <cell r="AL6">
            <v>5.8900000000000001E-2</v>
          </cell>
          <cell r="AM6">
            <v>0.27660000000000001</v>
          </cell>
          <cell r="AN6">
            <v>40.576245761527801</v>
          </cell>
          <cell r="AO6">
            <v>44.5</v>
          </cell>
          <cell r="AP6">
            <v>112.44762511774699</v>
          </cell>
          <cell r="AQ6">
            <v>0.28999999999999998</v>
          </cell>
          <cell r="AR6">
            <v>62.89</v>
          </cell>
          <cell r="AS6">
            <v>0.7</v>
          </cell>
          <cell r="AT6">
            <v>10.99</v>
          </cell>
          <cell r="AU6">
            <v>0.04</v>
          </cell>
          <cell r="AV6">
            <v>52.36</v>
          </cell>
          <cell r="AW6">
            <v>114.04</v>
          </cell>
        </row>
        <row r="7">
          <cell r="A7" t="str">
            <v>CT</v>
          </cell>
          <cell r="B7" t="str">
            <v>M</v>
          </cell>
          <cell r="C7">
            <v>6</v>
          </cell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>
            <v>-0.103765168727061</v>
          </cell>
          <cell r="Z7">
            <v>-3.1471897227669299E-2</v>
          </cell>
          <cell r="AA7">
            <v>-1.9867289355374199E-2</v>
          </cell>
          <cell r="AB7">
            <v>-2.3599999999999999E-2</v>
          </cell>
          <cell r="AC7">
            <v>-4.5499999999999999E-2</v>
          </cell>
          <cell r="AD7">
            <v>-1.29E-2</v>
          </cell>
          <cell r="AE7">
            <v>-6.8999999999999999E-3</v>
          </cell>
          <cell r="AF7">
            <v>7.5899999999999995E-2</v>
          </cell>
          <cell r="AG7">
            <v>6.8265000000000002</v>
          </cell>
          <cell r="AH7">
            <v>-0.27112892991402199</v>
          </cell>
          <cell r="AI7">
            <v>1.3131104586741001E-2</v>
          </cell>
          <cell r="AJ7">
            <v>2.02454412350966E-4</v>
          </cell>
          <cell r="AK7">
            <v>0.7772</v>
          </cell>
          <cell r="AL7">
            <v>5.8900000000000001E-2</v>
          </cell>
          <cell r="AM7">
            <v>0.27660000000000001</v>
          </cell>
          <cell r="AN7">
            <v>40.576245761527801</v>
          </cell>
          <cell r="AO7">
            <v>44.5</v>
          </cell>
          <cell r="AP7">
            <v>112.44762511774699</v>
          </cell>
          <cell r="AQ7">
            <v>0.28999999999999998</v>
          </cell>
          <cell r="AR7">
            <v>62.89</v>
          </cell>
          <cell r="AS7">
            <v>0.7</v>
          </cell>
          <cell r="AT7">
            <v>10.99</v>
          </cell>
          <cell r="AU7">
            <v>0.04</v>
          </cell>
          <cell r="AV7">
            <v>53.8</v>
          </cell>
          <cell r="AW7">
            <v>64.599999999999994</v>
          </cell>
        </row>
        <row r="8">
          <cell r="A8" t="str">
            <v>CT_a</v>
          </cell>
          <cell r="B8" t="str">
            <v>NM</v>
          </cell>
          <cell r="C8">
            <v>7</v>
          </cell>
          <cell r="D8">
            <v>2100</v>
          </cell>
          <cell r="E8">
            <v>2</v>
          </cell>
          <cell r="F8">
            <v>0.1</v>
          </cell>
          <cell r="G8">
            <v>0.25</v>
          </cell>
          <cell r="H8">
            <v>3.5000000000000001E-3</v>
          </cell>
          <cell r="I8">
            <v>7.0000000000000001E-3</v>
          </cell>
          <cell r="J8">
            <v>3.34</v>
          </cell>
          <cell r="K8">
            <v>108</v>
          </cell>
          <cell r="L8">
            <v>-0.94479999999999997</v>
          </cell>
          <cell r="M8">
            <v>-74.650000000000006</v>
          </cell>
          <cell r="N8">
            <v>25.05</v>
          </cell>
          <cell r="O8">
            <v>41.25</v>
          </cell>
          <cell r="P8">
            <v>-15</v>
          </cell>
          <cell r="Q8">
            <v>0.1</v>
          </cell>
          <cell r="R8">
            <v>35</v>
          </cell>
          <cell r="S8">
            <v>5</v>
          </cell>
          <cell r="T8">
            <v>2</v>
          </cell>
          <cell r="U8">
            <v>1</v>
          </cell>
          <cell r="V8">
            <v>0</v>
          </cell>
          <cell r="W8">
            <v>0</v>
          </cell>
          <cell r="X8">
            <v>0.5</v>
          </cell>
          <cell r="Y8">
            <v>-0.103765168727061</v>
          </cell>
          <cell r="Z8">
            <v>-3.1471897227669299E-2</v>
          </cell>
          <cell r="AA8">
            <v>-1.9867289355374199E-2</v>
          </cell>
          <cell r="AB8">
            <v>-2.3599999999999999E-2</v>
          </cell>
          <cell r="AC8">
            <v>-4.5499999999999999E-2</v>
          </cell>
          <cell r="AD8">
            <v>-1.29E-2</v>
          </cell>
          <cell r="AE8">
            <v>-6.8999999999999999E-3</v>
          </cell>
          <cell r="AF8">
            <v>7.5899999999999995E-2</v>
          </cell>
          <cell r="AG8">
            <v>6.8265000000000002</v>
          </cell>
          <cell r="AH8">
            <v>-0.27112892991402199</v>
          </cell>
          <cell r="AI8">
            <v>1.3131104586741001E-2</v>
          </cell>
          <cell r="AJ8">
            <v>2.02454412350966E-4</v>
          </cell>
          <cell r="AK8">
            <v>0.7772</v>
          </cell>
          <cell r="AL8">
            <v>5.8900000000000001E-2</v>
          </cell>
          <cell r="AM8">
            <v>0.27660000000000001</v>
          </cell>
          <cell r="AN8">
            <v>40.576245761527801</v>
          </cell>
          <cell r="AO8">
            <v>44.5</v>
          </cell>
          <cell r="AP8">
            <v>112.44762511774699</v>
          </cell>
          <cell r="AQ8">
            <v>0.28999999999999998</v>
          </cell>
          <cell r="AR8">
            <v>62.89</v>
          </cell>
          <cell r="AS8">
            <v>0.7</v>
          </cell>
          <cell r="AT8">
            <v>10.99</v>
          </cell>
          <cell r="AU8">
            <v>0.04</v>
          </cell>
          <cell r="AV8">
            <v>45</v>
          </cell>
          <cell r="AW8">
            <v>97.4</v>
          </cell>
        </row>
        <row r="9">
          <cell r="A9" t="str">
            <v>OS</v>
          </cell>
          <cell r="B9" t="str">
            <v>NM</v>
          </cell>
          <cell r="C9">
            <v>8</v>
          </cell>
          <cell r="D9">
            <v>2100</v>
          </cell>
          <cell r="E9">
            <v>2</v>
          </cell>
          <cell r="F9">
            <v>0.1</v>
          </cell>
          <cell r="G9">
            <v>0.25</v>
          </cell>
          <cell r="H9">
            <v>3.5000000000000001E-3</v>
          </cell>
          <cell r="I9">
            <v>7.0000000000000001E-3</v>
          </cell>
          <cell r="J9">
            <v>3.34</v>
          </cell>
          <cell r="K9">
            <v>108</v>
          </cell>
          <cell r="L9">
            <v>-0.94479999999999997</v>
          </cell>
          <cell r="M9">
            <v>-74.650000000000006</v>
          </cell>
          <cell r="N9">
            <v>25.05</v>
          </cell>
          <cell r="O9">
            <v>41.25</v>
          </cell>
          <cell r="P9">
            <v>-15</v>
          </cell>
          <cell r="Q9">
            <v>0.1</v>
          </cell>
          <cell r="R9">
            <v>35</v>
          </cell>
          <cell r="S9">
            <v>5</v>
          </cell>
          <cell r="T9">
            <v>2</v>
          </cell>
          <cell r="U9">
            <v>1</v>
          </cell>
          <cell r="V9">
            <v>0</v>
          </cell>
          <cell r="W9">
            <v>0</v>
          </cell>
          <cell r="X9">
            <v>0.5</v>
          </cell>
          <cell r="Y9">
            <v>-0.103765168727061</v>
          </cell>
          <cell r="Z9">
            <v>-3.1471897227669299E-2</v>
          </cell>
          <cell r="AA9">
            <v>-1.9867289355374199E-2</v>
          </cell>
          <cell r="AB9">
            <v>-2.3599999999999999E-2</v>
          </cell>
          <cell r="AC9">
            <v>-4.5499999999999999E-2</v>
          </cell>
          <cell r="AD9">
            <v>-1.29E-2</v>
          </cell>
          <cell r="AE9">
            <v>-6.8999999999999999E-3</v>
          </cell>
          <cell r="AF9">
            <v>7.5899999999999995E-2</v>
          </cell>
          <cell r="AG9">
            <v>6.8265000000000002</v>
          </cell>
          <cell r="AH9">
            <v>-0.27112892991402199</v>
          </cell>
          <cell r="AI9">
            <v>1.3131104586741001E-2</v>
          </cell>
          <cell r="AJ9">
            <v>2.02454412350966E-4</v>
          </cell>
          <cell r="AK9">
            <v>0.7772</v>
          </cell>
          <cell r="AL9">
            <v>5.8900000000000001E-2</v>
          </cell>
          <cell r="AM9">
            <v>0.27660000000000001</v>
          </cell>
          <cell r="AN9">
            <v>40.576245761527801</v>
          </cell>
          <cell r="AO9">
            <v>44.5</v>
          </cell>
          <cell r="AP9">
            <v>112.44762511774699</v>
          </cell>
          <cell r="AQ9">
            <v>0.28999999999999998</v>
          </cell>
          <cell r="AR9">
            <v>62.89</v>
          </cell>
          <cell r="AS9">
            <v>0.7</v>
          </cell>
          <cell r="AT9">
            <v>10.99</v>
          </cell>
          <cell r="AU9">
            <v>0.04</v>
          </cell>
          <cell r="AV9">
            <v>66.2</v>
          </cell>
          <cell r="AW9">
            <v>105.4</v>
          </cell>
        </row>
        <row r="10">
          <cell r="A10" t="str">
            <v>RE</v>
          </cell>
          <cell r="B10" t="str">
            <v>N</v>
          </cell>
          <cell r="C10">
            <v>9</v>
          </cell>
          <cell r="D10">
            <v>2100</v>
          </cell>
          <cell r="E10">
            <v>2</v>
          </cell>
          <cell r="F10">
            <v>0.1</v>
          </cell>
          <cell r="G10">
            <v>0.25</v>
          </cell>
          <cell r="H10">
            <v>3.5000000000000001E-3</v>
          </cell>
          <cell r="I10">
            <v>7.0000000000000001E-3</v>
          </cell>
          <cell r="J10">
            <v>3.34</v>
          </cell>
          <cell r="K10">
            <v>278</v>
          </cell>
          <cell r="L10">
            <v>-0.94479999999999997</v>
          </cell>
          <cell r="M10">
            <v>-74.650000000000006</v>
          </cell>
          <cell r="N10">
            <v>25.05</v>
          </cell>
          <cell r="O10">
            <v>41.25</v>
          </cell>
          <cell r="P10">
            <v>-4</v>
          </cell>
          <cell r="Q10">
            <v>0.1</v>
          </cell>
          <cell r="R10">
            <v>35</v>
          </cell>
          <cell r="S10">
            <v>5</v>
          </cell>
          <cell r="T10">
            <v>0</v>
          </cell>
          <cell r="U10">
            <v>1</v>
          </cell>
          <cell r="V10">
            <v>0.2</v>
          </cell>
          <cell r="W10">
            <v>0.1</v>
          </cell>
          <cell r="X10">
            <v>0.5</v>
          </cell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>
            <v>60.2</v>
          </cell>
          <cell r="AW10">
            <v>97.4</v>
          </cell>
        </row>
        <row r="11">
          <cell r="A11" t="str">
            <v>LNB</v>
          </cell>
          <cell r="B11" t="str">
            <v>NM</v>
          </cell>
          <cell r="C11">
            <v>10</v>
          </cell>
          <cell r="D11">
            <v>2300</v>
          </cell>
          <cell r="E11">
            <v>2</v>
          </cell>
          <cell r="F11">
            <v>0.1</v>
          </cell>
          <cell r="G11">
            <v>0.25</v>
          </cell>
          <cell r="H11">
            <v>3.5000000000000001E-3</v>
          </cell>
          <cell r="I11">
            <v>7.0000000000000001E-3</v>
          </cell>
          <cell r="J11">
            <v>3.34</v>
          </cell>
          <cell r="K11">
            <v>108</v>
          </cell>
          <cell r="L11">
            <v>-0.94479999999999997</v>
          </cell>
          <cell r="M11">
            <v>-74.650000000000006</v>
          </cell>
          <cell r="N11">
            <v>25.05</v>
          </cell>
          <cell r="O11">
            <v>41.25</v>
          </cell>
          <cell r="P11">
            <v>-15</v>
          </cell>
          <cell r="Q11">
            <v>0.1</v>
          </cell>
          <cell r="R11">
            <v>35</v>
          </cell>
          <cell r="S11">
            <v>5</v>
          </cell>
          <cell r="T11">
            <v>2</v>
          </cell>
          <cell r="U11">
            <v>1</v>
          </cell>
          <cell r="V11">
            <v>0</v>
          </cell>
          <cell r="W11">
            <v>0</v>
          </cell>
          <cell r="X11">
            <v>0.5</v>
          </cell>
          <cell r="Y11">
            <v>-8.6999999999999994E-3</v>
          </cell>
          <cell r="Z11">
            <v>-0.19089999999999999</v>
          </cell>
          <cell r="AA11">
            <v>-0.19040000000000001</v>
          </cell>
          <cell r="AB11">
            <v>-2.3599999999999999E-2</v>
          </cell>
          <cell r="AC11">
            <v>-4.5499999999999999E-2</v>
          </cell>
          <cell r="AD11">
            <v>-1.29E-2</v>
          </cell>
          <cell r="AE11">
            <v>-6.8999999999999999E-3</v>
          </cell>
          <cell r="AF11">
            <v>7.5899999999999995E-2</v>
          </cell>
          <cell r="AG11">
            <v>6.8265000000000002</v>
          </cell>
          <cell r="AH11">
            <v>-3.32E-2</v>
          </cell>
          <cell r="AI11">
            <v>1.4619999999999999E-2</v>
          </cell>
          <cell r="AJ11">
            <v>2E-3</v>
          </cell>
          <cell r="AK11">
            <v>0.7772</v>
          </cell>
          <cell r="AL11">
            <v>5.8900000000000001E-2</v>
          </cell>
          <cell r="AM11">
            <v>0.27660000000000001</v>
          </cell>
          <cell r="AN11">
            <v>30</v>
          </cell>
          <cell r="AO11">
            <v>44.5</v>
          </cell>
          <cell r="AP11">
            <v>131.1</v>
          </cell>
          <cell r="AQ11">
            <v>0.28999999999999998</v>
          </cell>
          <cell r="AR11">
            <v>62.89</v>
          </cell>
          <cell r="AS11">
            <v>0.7</v>
          </cell>
          <cell r="AT11">
            <v>10.99</v>
          </cell>
          <cell r="AU11">
            <v>0.04</v>
          </cell>
          <cell r="AV11">
            <v>60.6</v>
          </cell>
          <cell r="AW11">
            <v>85.4</v>
          </cell>
        </row>
        <row r="12">
          <cell r="A12" t="str">
            <v>TC_f</v>
          </cell>
          <cell r="B12" t="str">
            <v>NM</v>
          </cell>
          <cell r="C12">
            <v>11</v>
          </cell>
          <cell r="D12">
            <v>2100</v>
          </cell>
          <cell r="E12">
            <v>2</v>
          </cell>
          <cell r="F12">
            <v>0.1</v>
          </cell>
          <cell r="G12">
            <v>0.25</v>
          </cell>
          <cell r="H12">
            <v>3.5000000000000001E-3</v>
          </cell>
          <cell r="I12">
            <v>7.0000000000000001E-3</v>
          </cell>
          <cell r="J12">
            <v>3.34</v>
          </cell>
          <cell r="K12">
            <v>108</v>
          </cell>
          <cell r="L12">
            <v>-0.94479999999999997</v>
          </cell>
          <cell r="M12">
            <v>-74.650000000000006</v>
          </cell>
          <cell r="N12">
            <v>25.05</v>
          </cell>
          <cell r="O12">
            <v>41.25</v>
          </cell>
          <cell r="P12">
            <v>-15</v>
          </cell>
          <cell r="Q12">
            <v>0.1</v>
          </cell>
          <cell r="R12">
            <v>35</v>
          </cell>
          <cell r="S12">
            <v>5</v>
          </cell>
          <cell r="T12">
            <v>2</v>
          </cell>
          <cell r="U12">
            <v>1</v>
          </cell>
          <cell r="V12">
            <v>0</v>
          </cell>
          <cell r="W12">
            <v>0</v>
          </cell>
          <cell r="X12">
            <v>0.5</v>
          </cell>
          <cell r="Y12">
            <v>-0.103765168727061</v>
          </cell>
          <cell r="Z12">
            <v>-3.1471897227669299E-2</v>
          </cell>
          <cell r="AA12">
            <v>-1.9867289355374199E-2</v>
          </cell>
          <cell r="AB12">
            <v>-2.3599999999999999E-2</v>
          </cell>
          <cell r="AC12">
            <v>-4.5499999999999999E-2</v>
          </cell>
          <cell r="AD12">
            <v>-1.29E-2</v>
          </cell>
          <cell r="AE12">
            <v>-6.8999999999999999E-3</v>
          </cell>
          <cell r="AF12">
            <v>7.5899999999999995E-2</v>
          </cell>
          <cell r="AG12">
            <v>6.8265000000000002</v>
          </cell>
          <cell r="AH12">
            <v>-0.27112892991402199</v>
          </cell>
          <cell r="AI12">
            <v>8.7200000000000003E-3</v>
          </cell>
          <cell r="AJ12">
            <v>2.02454412350966E-4</v>
          </cell>
          <cell r="AK12">
            <v>0.7772</v>
          </cell>
          <cell r="AL12">
            <v>5.8900000000000001E-2</v>
          </cell>
          <cell r="AM12">
            <v>0.27660000000000001</v>
          </cell>
          <cell r="AN12">
            <v>40.576245761527801</v>
          </cell>
          <cell r="AO12">
            <v>44.5</v>
          </cell>
          <cell r="AP12">
            <v>112.44762511774699</v>
          </cell>
          <cell r="AQ12">
            <v>0.28999999999999998</v>
          </cell>
          <cell r="AR12">
            <v>62.89</v>
          </cell>
          <cell r="AS12">
            <v>0.7</v>
          </cell>
          <cell r="AT12">
            <v>10.99</v>
          </cell>
          <cell r="AU12">
            <v>0.04</v>
          </cell>
          <cell r="AV12">
            <v>67</v>
          </cell>
          <cell r="AW12">
            <v>97.4</v>
          </cell>
        </row>
        <row r="13">
          <cell r="A13" t="str">
            <v>CN</v>
          </cell>
          <cell r="B13" t="str">
            <v>N</v>
          </cell>
          <cell r="C13">
            <v>12</v>
          </cell>
          <cell r="D13">
            <v>1500</v>
          </cell>
          <cell r="E13">
            <v>2</v>
          </cell>
          <cell r="F13">
            <v>0.1</v>
          </cell>
          <cell r="G13">
            <v>0.25</v>
          </cell>
          <cell r="H13">
            <v>3.5000000000000001E-3</v>
          </cell>
          <cell r="I13">
            <v>7.0000000000000001E-3</v>
          </cell>
          <cell r="J13">
            <v>3.34</v>
          </cell>
          <cell r="K13">
            <v>214</v>
          </cell>
          <cell r="L13">
            <v>-0.94479999999999997</v>
          </cell>
          <cell r="M13">
            <v>-74.650000000000006</v>
          </cell>
          <cell r="N13">
            <v>25.05</v>
          </cell>
          <cell r="O13">
            <v>41.25</v>
          </cell>
          <cell r="P13">
            <v>-4</v>
          </cell>
          <cell r="Q13">
            <v>0.1</v>
          </cell>
          <cell r="R13">
            <v>35</v>
          </cell>
          <cell r="S13">
            <v>5</v>
          </cell>
          <cell r="T13">
            <v>0</v>
          </cell>
          <cell r="U13">
            <v>1</v>
          </cell>
          <cell r="V13">
            <v>0.2</v>
          </cell>
          <cell r="W13">
            <v>0.8</v>
          </cell>
          <cell r="X13">
            <v>0.5</v>
          </cell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>
            <v>67.400000000000006</v>
          </cell>
          <cell r="AW13">
            <v>92.2</v>
          </cell>
        </row>
        <row r="14">
          <cell r="A14" t="str">
            <v>RA_a</v>
          </cell>
          <cell r="B14" t="str">
            <v>M</v>
          </cell>
          <cell r="C14">
            <v>13</v>
          </cell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>
            <v>-0.103765168727061</v>
          </cell>
          <cell r="Z14">
            <v>-3.1471897227669299E-2</v>
          </cell>
          <cell r="AA14">
            <v>-1.9867289355374199E-2</v>
          </cell>
          <cell r="AB14">
            <v>-2.3599999999999999E-2</v>
          </cell>
          <cell r="AC14">
            <v>-4.5499999999999999E-2</v>
          </cell>
          <cell r="AD14">
            <v>-1.29E-2</v>
          </cell>
          <cell r="AE14">
            <v>-6.8999999999999999E-3</v>
          </cell>
          <cell r="AF14">
            <v>7.5899999999999995E-2</v>
          </cell>
          <cell r="AG14">
            <v>6.8265000000000002</v>
          </cell>
          <cell r="AH14">
            <v>-0.27112892991402199</v>
          </cell>
          <cell r="AI14">
            <v>1.3131104586741001E-2</v>
          </cell>
          <cell r="AJ14">
            <v>2.02454412350966E-4</v>
          </cell>
          <cell r="AK14">
            <v>0.7772</v>
          </cell>
          <cell r="AL14">
            <v>5.8900000000000001E-2</v>
          </cell>
          <cell r="AM14">
            <v>0.27660000000000001</v>
          </cell>
          <cell r="AN14">
            <v>40.576245761527801</v>
          </cell>
          <cell r="AO14">
            <v>44.5</v>
          </cell>
          <cell r="AP14">
            <v>112.44762511774699</v>
          </cell>
          <cell r="AQ14">
            <v>0.28999999999999998</v>
          </cell>
          <cell r="AR14">
            <v>62.89</v>
          </cell>
          <cell r="AS14">
            <v>0.7</v>
          </cell>
          <cell r="AT14">
            <v>10.99</v>
          </cell>
          <cell r="AU14">
            <v>0.04</v>
          </cell>
          <cell r="AV14">
            <v>70.2</v>
          </cell>
          <cell r="AW14">
            <v>118.2</v>
          </cell>
        </row>
        <row r="15">
          <cell r="A15" t="str">
            <v>RA</v>
          </cell>
          <cell r="B15" t="str">
            <v>M</v>
          </cell>
          <cell r="C15">
            <v>14</v>
          </cell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>
            <v>-0.103765168727061</v>
          </cell>
          <cell r="Z15">
            <v>-3.1471897227669299E-2</v>
          </cell>
          <cell r="AA15">
            <v>-1.9867289355374199E-2</v>
          </cell>
          <cell r="AB15">
            <v>-2.3599999999999999E-2</v>
          </cell>
          <cell r="AC15">
            <v>-4.5499999999999999E-2</v>
          </cell>
          <cell r="AD15">
            <v>-1.29E-2</v>
          </cell>
          <cell r="AE15">
            <v>-6.8999999999999999E-3</v>
          </cell>
          <cell r="AF15">
            <v>7.5899999999999995E-2</v>
          </cell>
          <cell r="AG15">
            <v>6.8265000000000002</v>
          </cell>
          <cell r="AH15">
            <v>-0.27112892991402199</v>
          </cell>
          <cell r="AI15">
            <v>1.3131104586741001E-2</v>
          </cell>
          <cell r="AJ15">
            <v>2.02454412350966E-4</v>
          </cell>
          <cell r="AK15">
            <v>0.7772</v>
          </cell>
          <cell r="AL15">
            <v>5.8900000000000001E-2</v>
          </cell>
          <cell r="AM15">
            <v>0.27660000000000001</v>
          </cell>
          <cell r="AN15">
            <v>40.576245761527801</v>
          </cell>
          <cell r="AO15">
            <v>44.5</v>
          </cell>
          <cell r="AP15">
            <v>112.44762511774699</v>
          </cell>
          <cell r="AQ15">
            <v>0.28999999999999998</v>
          </cell>
          <cell r="AR15">
            <v>62.89</v>
          </cell>
          <cell r="AS15">
            <v>0.7</v>
          </cell>
          <cell r="AT15">
            <v>10.99</v>
          </cell>
          <cell r="AU15">
            <v>0.04</v>
          </cell>
          <cell r="AV15">
            <v>79.400000000000006</v>
          </cell>
          <cell r="AW15">
            <v>107.8</v>
          </cell>
        </row>
        <row r="16">
          <cell r="A16" t="str">
            <v>CS_LA</v>
          </cell>
          <cell r="B16" t="str">
            <v>NM</v>
          </cell>
          <cell r="C16">
            <v>15</v>
          </cell>
          <cell r="D16">
            <v>2200</v>
          </cell>
          <cell r="E16">
            <v>2</v>
          </cell>
          <cell r="F16">
            <v>0.1</v>
          </cell>
          <cell r="G16">
            <v>0.25</v>
          </cell>
          <cell r="H16">
            <v>3.5000000000000001E-3</v>
          </cell>
          <cell r="I16">
            <v>7.0000000000000001E-3</v>
          </cell>
          <cell r="J16">
            <v>3.34</v>
          </cell>
          <cell r="K16">
            <v>108</v>
          </cell>
          <cell r="L16">
            <v>-0.94479999999999997</v>
          </cell>
          <cell r="M16">
            <v>-74.650000000000006</v>
          </cell>
          <cell r="N16">
            <v>25.05</v>
          </cell>
          <cell r="O16">
            <v>41.25</v>
          </cell>
          <cell r="P16">
            <v>-15</v>
          </cell>
          <cell r="Q16">
            <v>0.1</v>
          </cell>
          <cell r="R16">
            <v>35</v>
          </cell>
          <cell r="S16">
            <v>5</v>
          </cell>
          <cell r="T16">
            <v>2</v>
          </cell>
          <cell r="U16">
            <v>1</v>
          </cell>
          <cell r="V16">
            <v>0</v>
          </cell>
          <cell r="W16">
            <v>0</v>
          </cell>
          <cell r="X16">
            <v>0.5</v>
          </cell>
          <cell r="Y16">
            <v>-0.103765168727061</v>
          </cell>
          <cell r="Z16">
            <v>-3.1471897227669299E-2</v>
          </cell>
          <cell r="AA16">
            <v>-1.9867289355374199E-2</v>
          </cell>
          <cell r="AB16">
            <v>-2.3599999999999999E-2</v>
          </cell>
          <cell r="AC16">
            <v>-4.5499999999999999E-2</v>
          </cell>
          <cell r="AD16">
            <v>-1.29E-2</v>
          </cell>
          <cell r="AE16">
            <v>-6.8999999999999999E-3</v>
          </cell>
          <cell r="AF16">
            <v>7.5899999999999995E-2</v>
          </cell>
          <cell r="AG16">
            <v>6.8265000000000002</v>
          </cell>
          <cell r="AH16">
            <v>-0.27112892991402199</v>
          </cell>
          <cell r="AI16">
            <v>1.3131104586741001E-2</v>
          </cell>
          <cell r="AJ16">
            <v>2.02454412350966E-4</v>
          </cell>
          <cell r="AK16">
            <v>0.7772</v>
          </cell>
          <cell r="AL16">
            <v>5.8900000000000001E-2</v>
          </cell>
          <cell r="AM16">
            <v>0.27660000000000001</v>
          </cell>
          <cell r="AN16">
            <v>40.576245761527801</v>
          </cell>
          <cell r="AO16">
            <v>44.5</v>
          </cell>
          <cell r="AP16">
            <v>112.44762511774699</v>
          </cell>
          <cell r="AQ16">
            <v>0.28999999999999998</v>
          </cell>
          <cell r="AR16">
            <v>62.89</v>
          </cell>
          <cell r="AS16">
            <v>0.7</v>
          </cell>
          <cell r="AT16">
            <v>10.99</v>
          </cell>
          <cell r="AU16">
            <v>0.04</v>
          </cell>
          <cell r="AV16">
            <v>118.6</v>
          </cell>
          <cell r="AW16">
            <v>133.80000000000001</v>
          </cell>
        </row>
        <row r="17">
          <cell r="A17" t="str">
            <v>Bach</v>
          </cell>
          <cell r="B17" t="str">
            <v>M</v>
          </cell>
          <cell r="C17">
            <v>16</v>
          </cell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>
            <v>-0.103765168727061</v>
          </cell>
          <cell r="Z17">
            <v>-3.1471897227669299E-2</v>
          </cell>
          <cell r="AA17">
            <v>-1.9867289355374199E-2</v>
          </cell>
          <cell r="AB17">
            <v>-2.3599999999999999E-2</v>
          </cell>
          <cell r="AC17">
            <v>-4.5499999999999999E-2</v>
          </cell>
          <cell r="AD17">
            <v>-1.29E-2</v>
          </cell>
          <cell r="AE17">
            <v>-6.8999999999999999E-3</v>
          </cell>
          <cell r="AF17">
            <v>7.5899999999999995E-2</v>
          </cell>
          <cell r="AG17">
            <v>6.8265000000000002</v>
          </cell>
          <cell r="AH17">
            <v>-0.27112892991402199</v>
          </cell>
          <cell r="AI17">
            <v>1.3131104586741001E-2</v>
          </cell>
          <cell r="AJ17">
            <v>2.02454412350966E-4</v>
          </cell>
          <cell r="AK17">
            <v>0.7772</v>
          </cell>
          <cell r="AL17">
            <v>5.8900000000000001E-2</v>
          </cell>
          <cell r="AM17">
            <v>0.27660000000000001</v>
          </cell>
          <cell r="AN17">
            <v>40.576245761527801</v>
          </cell>
          <cell r="AO17">
            <v>44.5</v>
          </cell>
          <cell r="AP17">
            <v>112.44762511774699</v>
          </cell>
          <cell r="AQ17">
            <v>0.28999999999999998</v>
          </cell>
          <cell r="AR17">
            <v>62.89</v>
          </cell>
          <cell r="AS17">
            <v>0.7</v>
          </cell>
          <cell r="AT17">
            <v>10.99</v>
          </cell>
          <cell r="AU17">
            <v>0.04</v>
          </cell>
          <cell r="AV17">
            <v>98.2</v>
          </cell>
          <cell r="AW17">
            <v>137.80000000000001</v>
          </cell>
        </row>
        <row r="18">
          <cell r="A18" t="str">
            <v>LA_a</v>
          </cell>
          <cell r="B18" t="str">
            <v>M</v>
          </cell>
          <cell r="C18">
            <v>17</v>
          </cell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>
            <v>-0.103765168727061</v>
          </cell>
          <cell r="Z18">
            <v>-3.1471897227669299E-2</v>
          </cell>
          <cell r="AA18">
            <v>-1.9867289355374199E-2</v>
          </cell>
          <cell r="AB18">
            <v>-2.3599999999999999E-2</v>
          </cell>
          <cell r="AC18">
            <v>-4.5499999999999999E-2</v>
          </cell>
          <cell r="AD18">
            <v>-1.29E-2</v>
          </cell>
          <cell r="AE18">
            <v>-6.8999999999999999E-3</v>
          </cell>
          <cell r="AF18">
            <v>7.5899999999999995E-2</v>
          </cell>
          <cell r="AG18">
            <v>6.8265000000000002</v>
          </cell>
          <cell r="AH18">
            <v>-0.27112892991402199</v>
          </cell>
          <cell r="AI18">
            <v>1.3131104586741001E-2</v>
          </cell>
          <cell r="AJ18">
            <v>2.02454412350966E-4</v>
          </cell>
          <cell r="AK18">
            <v>0.7772</v>
          </cell>
          <cell r="AL18">
            <v>5.8900000000000001E-2</v>
          </cell>
          <cell r="AM18">
            <v>0.27660000000000001</v>
          </cell>
          <cell r="AN18">
            <v>40.576245761527801</v>
          </cell>
          <cell r="AO18">
            <v>44.5</v>
          </cell>
          <cell r="AP18">
            <v>112.44762511774699</v>
          </cell>
          <cell r="AQ18">
            <v>0.28999999999999998</v>
          </cell>
          <cell r="AR18">
            <v>62.89</v>
          </cell>
          <cell r="AS18">
            <v>0.7</v>
          </cell>
          <cell r="AT18">
            <v>10.99</v>
          </cell>
          <cell r="AU18">
            <v>0.04</v>
          </cell>
          <cell r="AV18">
            <v>125.4</v>
          </cell>
          <cell r="AW18">
            <v>139.80000000000001</v>
          </cell>
        </row>
        <row r="19">
          <cell r="A19" t="str">
            <v>LA</v>
          </cell>
          <cell r="B19" t="str">
            <v>M</v>
          </cell>
          <cell r="C19">
            <v>18</v>
          </cell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>
            <v>-0.103765168727061</v>
          </cell>
          <cell r="Z19">
            <v>-3.1471897227669299E-2</v>
          </cell>
          <cell r="AA19">
            <v>-1.9867289355374199E-2</v>
          </cell>
          <cell r="AB19">
            <v>-2.3599999999999999E-2</v>
          </cell>
          <cell r="AC19">
            <v>-4.5499999999999999E-2</v>
          </cell>
          <cell r="AD19">
            <v>-1.29E-2</v>
          </cell>
          <cell r="AE19">
            <v>-6.8999999999999999E-3</v>
          </cell>
          <cell r="AF19">
            <v>7.5899999999999995E-2</v>
          </cell>
          <cell r="AG19">
            <v>6.8265000000000002</v>
          </cell>
          <cell r="AH19">
            <v>-0.27112892991402199</v>
          </cell>
          <cell r="AI19">
            <v>1.3131104586741001E-2</v>
          </cell>
          <cell r="AJ19">
            <v>2.02454412350966E-4</v>
          </cell>
          <cell r="AK19">
            <v>0.7772</v>
          </cell>
          <cell r="AL19">
            <v>5.8900000000000001E-2</v>
          </cell>
          <cell r="AM19">
            <v>0.27660000000000001</v>
          </cell>
          <cell r="AN19">
            <v>40.576245761527801</v>
          </cell>
          <cell r="AO19">
            <v>44.5</v>
          </cell>
          <cell r="AP19">
            <v>112.44762511774699</v>
          </cell>
          <cell r="AQ19">
            <v>0.28999999999999998</v>
          </cell>
          <cell r="AR19">
            <v>62.89</v>
          </cell>
          <cell r="AS19">
            <v>0.7</v>
          </cell>
          <cell r="AT19">
            <v>10.99</v>
          </cell>
          <cell r="AU19">
            <v>0.04</v>
          </cell>
          <cell r="AV19">
            <v>135.4</v>
          </cell>
          <cell r="AW19">
            <v>130.19999999999999</v>
          </cell>
        </row>
        <row r="20">
          <cell r="A20" t="str">
            <v>BH</v>
          </cell>
          <cell r="B20" t="str">
            <v>NM</v>
          </cell>
          <cell r="C20">
            <v>19</v>
          </cell>
          <cell r="D20">
            <v>2300</v>
          </cell>
          <cell r="E20">
            <v>2</v>
          </cell>
          <cell r="F20">
            <v>0.1</v>
          </cell>
          <cell r="G20">
            <v>0.25</v>
          </cell>
          <cell r="H20">
            <v>3.5000000000000001E-3</v>
          </cell>
          <cell r="I20">
            <v>7.0000000000000001E-3</v>
          </cell>
          <cell r="J20">
            <v>3.34</v>
          </cell>
          <cell r="K20">
            <v>108</v>
          </cell>
          <cell r="L20">
            <v>-0.94479999999999997</v>
          </cell>
          <cell r="M20">
            <v>-74.650000000000006</v>
          </cell>
          <cell r="N20">
            <v>25.05</v>
          </cell>
          <cell r="O20">
            <v>41.25</v>
          </cell>
          <cell r="P20">
            <v>-15</v>
          </cell>
          <cell r="Q20">
            <v>0.1</v>
          </cell>
          <cell r="R20">
            <v>35</v>
          </cell>
          <cell r="S20">
            <v>5</v>
          </cell>
          <cell r="T20">
            <v>2</v>
          </cell>
          <cell r="U20">
            <v>1</v>
          </cell>
          <cell r="V20">
            <v>0</v>
          </cell>
          <cell r="W20">
            <v>0</v>
          </cell>
          <cell r="X20">
            <v>0.5</v>
          </cell>
          <cell r="Y20">
            <v>-8.6999999999999994E-3</v>
          </cell>
          <cell r="Z20">
            <v>-0.19089999999999999</v>
          </cell>
          <cell r="AA20">
            <v>-0.19040000000000001</v>
          </cell>
          <cell r="AB20">
            <v>-2.3599999999999999E-2</v>
          </cell>
          <cell r="AC20">
            <v>-4.5499999999999999E-2</v>
          </cell>
          <cell r="AD20">
            <v>-1.29E-2</v>
          </cell>
          <cell r="AE20">
            <v>-6.8999999999999999E-3</v>
          </cell>
          <cell r="AF20">
            <v>7.5899999999999995E-2</v>
          </cell>
          <cell r="AG20">
            <v>6.8265000000000002</v>
          </cell>
          <cell r="AH20">
            <v>-3.32E-2</v>
          </cell>
          <cell r="AI20">
            <v>1.3939999999999999E-2</v>
          </cell>
          <cell r="AJ20">
            <v>2E-3</v>
          </cell>
          <cell r="AK20">
            <v>0.7772</v>
          </cell>
          <cell r="AL20">
            <v>5.8900000000000001E-2</v>
          </cell>
          <cell r="AM20">
            <v>0.27660000000000001</v>
          </cell>
          <cell r="AN20">
            <v>30</v>
          </cell>
          <cell r="AO20">
            <v>44.5</v>
          </cell>
          <cell r="AP20">
            <v>131.1</v>
          </cell>
          <cell r="AQ20">
            <v>0.28999999999999998</v>
          </cell>
          <cell r="AR20">
            <v>62.89</v>
          </cell>
          <cell r="AS20">
            <v>0.7</v>
          </cell>
          <cell r="AT20">
            <v>10.99</v>
          </cell>
          <cell r="AU20">
            <v>0.04</v>
          </cell>
          <cell r="AV20">
            <v>68.2</v>
          </cell>
          <cell r="AW20">
            <v>86.6</v>
          </cell>
        </row>
        <row r="21">
          <cell r="A21" t="str">
            <v>His_p</v>
          </cell>
          <cell r="B21" t="str">
            <v>NM</v>
          </cell>
          <cell r="C21">
            <v>20</v>
          </cell>
          <cell r="D21">
            <v>2300</v>
          </cell>
          <cell r="E21">
            <v>2</v>
          </cell>
          <cell r="F21">
            <v>0.1</v>
          </cell>
          <cell r="G21">
            <v>0.25</v>
          </cell>
          <cell r="H21">
            <v>3.5000000000000001E-3</v>
          </cell>
          <cell r="I21">
            <v>7.0000000000000001E-3</v>
          </cell>
          <cell r="J21">
            <v>3.34</v>
          </cell>
          <cell r="K21">
            <v>108</v>
          </cell>
          <cell r="L21">
            <v>-0.94479999999999997</v>
          </cell>
          <cell r="M21">
            <v>-74.650000000000006</v>
          </cell>
          <cell r="N21">
            <v>25.05</v>
          </cell>
          <cell r="O21">
            <v>41.25</v>
          </cell>
          <cell r="P21">
            <v>-15</v>
          </cell>
          <cell r="Q21">
            <v>0.1</v>
          </cell>
          <cell r="R21">
            <v>35</v>
          </cell>
          <cell r="S21">
            <v>5</v>
          </cell>
          <cell r="T21">
            <v>2</v>
          </cell>
          <cell r="U21">
            <v>1</v>
          </cell>
          <cell r="V21">
            <v>0</v>
          </cell>
          <cell r="W21">
            <v>0</v>
          </cell>
          <cell r="X21">
            <v>0.5</v>
          </cell>
          <cell r="Y21">
            <v>-8.6999999999999994E-3</v>
          </cell>
          <cell r="Z21">
            <v>-0.19089999999999999</v>
          </cell>
          <cell r="AA21">
            <v>-0.19040000000000001</v>
          </cell>
          <cell r="AB21">
            <v>-2.3599999999999999E-2</v>
          </cell>
          <cell r="AC21">
            <v>-4.5499999999999999E-2</v>
          </cell>
          <cell r="AD21">
            <v>-1.29E-2</v>
          </cell>
          <cell r="AE21">
            <v>-6.8999999999999999E-3</v>
          </cell>
          <cell r="AF21">
            <v>7.5899999999999995E-2</v>
          </cell>
          <cell r="AG21">
            <v>6.8265000000000002</v>
          </cell>
          <cell r="AH21">
            <v>-3.32E-2</v>
          </cell>
          <cell r="AI21">
            <v>1.106E-2</v>
          </cell>
          <cell r="AJ21">
            <v>2E-3</v>
          </cell>
          <cell r="AK21">
            <v>0.7772</v>
          </cell>
          <cell r="AL21">
            <v>5.8900000000000001E-2</v>
          </cell>
          <cell r="AM21">
            <v>0.27660000000000001</v>
          </cell>
          <cell r="AN21">
            <v>30</v>
          </cell>
          <cell r="AO21">
            <v>44.5</v>
          </cell>
          <cell r="AP21">
            <v>131.1</v>
          </cell>
          <cell r="AQ21">
            <v>0.28999999999999998</v>
          </cell>
          <cell r="AR21">
            <v>62.89</v>
          </cell>
          <cell r="AS21">
            <v>0.7</v>
          </cell>
          <cell r="AT21">
            <v>10.99</v>
          </cell>
          <cell r="AU21">
            <v>0.04</v>
          </cell>
          <cell r="AV21">
            <v>81.8</v>
          </cell>
          <cell r="AW21">
            <v>99.4</v>
          </cell>
        </row>
        <row r="22">
          <cell r="A22" t="str">
            <v>His_m</v>
          </cell>
          <cell r="B22" t="str">
            <v>NM</v>
          </cell>
          <cell r="C22">
            <v>21</v>
          </cell>
          <cell r="D22">
            <v>2300</v>
          </cell>
          <cell r="E22">
            <v>2</v>
          </cell>
          <cell r="F22">
            <v>0.1</v>
          </cell>
          <cell r="G22">
            <v>0.25</v>
          </cell>
          <cell r="H22">
            <v>3.5000000000000001E-3</v>
          </cell>
          <cell r="I22">
            <v>7.0000000000000001E-3</v>
          </cell>
          <cell r="J22">
            <v>3.34</v>
          </cell>
          <cell r="K22">
            <v>108</v>
          </cell>
          <cell r="L22">
            <v>-0.94479999999999997</v>
          </cell>
          <cell r="M22">
            <v>-74.650000000000006</v>
          </cell>
          <cell r="N22">
            <v>25.05</v>
          </cell>
          <cell r="O22">
            <v>41.25</v>
          </cell>
          <cell r="P22">
            <v>-15</v>
          </cell>
          <cell r="Q22">
            <v>0.1</v>
          </cell>
          <cell r="R22">
            <v>35</v>
          </cell>
          <cell r="S22">
            <v>5</v>
          </cell>
          <cell r="T22">
            <v>2</v>
          </cell>
          <cell r="U22">
            <v>1</v>
          </cell>
          <cell r="V22">
            <v>0</v>
          </cell>
          <cell r="W22">
            <v>0</v>
          </cell>
          <cell r="X22">
            <v>0.5</v>
          </cell>
          <cell r="Y22">
            <v>-8.6999999999999994E-3</v>
          </cell>
          <cell r="Z22">
            <v>-0.19089999999999999</v>
          </cell>
          <cell r="AA22">
            <v>-0.19040000000000001</v>
          </cell>
          <cell r="AB22">
            <v>-2.3599999999999999E-2</v>
          </cell>
          <cell r="AC22">
            <v>-4.5499999999999999E-2</v>
          </cell>
          <cell r="AD22">
            <v>-1.29E-2</v>
          </cell>
          <cell r="AE22">
            <v>-6.8999999999999999E-3</v>
          </cell>
          <cell r="AF22">
            <v>7.5899999999999995E-2</v>
          </cell>
          <cell r="AG22">
            <v>6.8265000000000002</v>
          </cell>
          <cell r="AH22">
            <v>-3.32E-2</v>
          </cell>
          <cell r="AI22">
            <v>1.1140000000000001E-2</v>
          </cell>
          <cell r="AJ22">
            <v>2E-3</v>
          </cell>
          <cell r="AK22">
            <v>0.7772</v>
          </cell>
          <cell r="AL22">
            <v>5.8900000000000001E-2</v>
          </cell>
          <cell r="AM22">
            <v>0.27660000000000001</v>
          </cell>
          <cell r="AN22">
            <v>30</v>
          </cell>
          <cell r="AO22">
            <v>44.5</v>
          </cell>
          <cell r="AP22">
            <v>131.1</v>
          </cell>
          <cell r="AQ22">
            <v>0.28999999999999998</v>
          </cell>
          <cell r="AR22">
            <v>62.89</v>
          </cell>
          <cell r="AS22">
            <v>0.7</v>
          </cell>
          <cell r="AT22">
            <v>10.99</v>
          </cell>
          <cell r="AU22">
            <v>0.04</v>
          </cell>
          <cell r="AV22">
            <v>94.6</v>
          </cell>
          <cell r="AW22">
            <v>100.2</v>
          </cell>
        </row>
        <row r="23">
          <cell r="A23" t="str">
            <v>His_d</v>
          </cell>
          <cell r="B23" t="str">
            <v>NM</v>
          </cell>
          <cell r="C23">
            <v>22</v>
          </cell>
          <cell r="D23">
            <v>2300</v>
          </cell>
          <cell r="E23">
            <v>2</v>
          </cell>
          <cell r="F23">
            <v>0.1</v>
          </cell>
          <cell r="G23">
            <v>0.25</v>
          </cell>
          <cell r="H23">
            <v>3.5000000000000001E-3</v>
          </cell>
          <cell r="I23">
            <v>7.0000000000000001E-3</v>
          </cell>
          <cell r="J23">
            <v>3.34</v>
          </cell>
          <cell r="K23">
            <v>108</v>
          </cell>
          <cell r="L23">
            <v>-0.94479999999999997</v>
          </cell>
          <cell r="M23">
            <v>-74.650000000000006</v>
          </cell>
          <cell r="N23">
            <v>25.05</v>
          </cell>
          <cell r="O23">
            <v>41.25</v>
          </cell>
          <cell r="P23">
            <v>-15</v>
          </cell>
          <cell r="Q23">
            <v>0.1</v>
          </cell>
          <cell r="R23">
            <v>35</v>
          </cell>
          <cell r="S23">
            <v>5</v>
          </cell>
          <cell r="T23">
            <v>2</v>
          </cell>
          <cell r="U23">
            <v>1</v>
          </cell>
          <cell r="V23">
            <v>0</v>
          </cell>
          <cell r="W23">
            <v>0</v>
          </cell>
          <cell r="X23">
            <v>0.5</v>
          </cell>
          <cell r="Y23">
            <v>-8.6999999999999994E-3</v>
          </cell>
          <cell r="Z23">
            <v>-0.19089999999999999</v>
          </cell>
          <cell r="AA23">
            <v>-0.19040000000000001</v>
          </cell>
          <cell r="AB23">
            <v>-2.3599999999999999E-2</v>
          </cell>
          <cell r="AC23">
            <v>-4.5499999999999999E-2</v>
          </cell>
          <cell r="AD23">
            <v>-1.29E-2</v>
          </cell>
          <cell r="AE23">
            <v>-6.8999999999999999E-3</v>
          </cell>
          <cell r="AF23">
            <v>7.5899999999999995E-2</v>
          </cell>
          <cell r="AG23">
            <v>6.8265000000000002</v>
          </cell>
          <cell r="AH23">
            <v>-3.32E-2</v>
          </cell>
          <cell r="AI23">
            <v>1.136E-2</v>
          </cell>
          <cell r="AJ23">
            <v>2E-3</v>
          </cell>
          <cell r="AK23">
            <v>0.7772</v>
          </cell>
          <cell r="AL23">
            <v>5.8900000000000001E-2</v>
          </cell>
          <cell r="AM23">
            <v>0.27660000000000001</v>
          </cell>
          <cell r="AN23">
            <v>30</v>
          </cell>
          <cell r="AO23">
            <v>44.5</v>
          </cell>
          <cell r="AP23">
            <v>131.1</v>
          </cell>
          <cell r="AQ23">
            <v>0.28999999999999998</v>
          </cell>
          <cell r="AR23">
            <v>62.89</v>
          </cell>
          <cell r="AS23">
            <v>0.7</v>
          </cell>
          <cell r="AT23">
            <v>10.99</v>
          </cell>
          <cell r="AU23">
            <v>0.04</v>
          </cell>
          <cell r="AV23">
            <v>105</v>
          </cell>
          <cell r="AW23">
            <v>88.2</v>
          </cell>
        </row>
        <row r="24">
          <cell r="A24" t="str">
            <v>RBB_m</v>
          </cell>
          <cell r="B24" t="str">
            <v>NM</v>
          </cell>
          <cell r="C24">
            <v>23</v>
          </cell>
          <cell r="D24">
            <v>2300</v>
          </cell>
          <cell r="E24">
            <v>2</v>
          </cell>
          <cell r="F24">
            <v>0.1</v>
          </cell>
          <cell r="G24">
            <v>0.25</v>
          </cell>
          <cell r="H24">
            <v>3.5000000000000001E-3</v>
          </cell>
          <cell r="I24">
            <v>7.0000000000000001E-3</v>
          </cell>
          <cell r="J24">
            <v>3.34</v>
          </cell>
          <cell r="K24">
            <v>108</v>
          </cell>
          <cell r="L24">
            <v>-0.94479999999999997</v>
          </cell>
          <cell r="M24">
            <v>-74.650000000000006</v>
          </cell>
          <cell r="N24">
            <v>25.05</v>
          </cell>
          <cell r="O24">
            <v>41.25</v>
          </cell>
          <cell r="P24">
            <v>-25</v>
          </cell>
          <cell r="Q24">
            <v>0.1</v>
          </cell>
          <cell r="R24">
            <v>35</v>
          </cell>
          <cell r="S24">
            <v>4</v>
          </cell>
          <cell r="T24">
            <v>2</v>
          </cell>
          <cell r="U24">
            <v>1</v>
          </cell>
          <cell r="V24">
            <v>0</v>
          </cell>
          <cell r="W24">
            <v>0</v>
          </cell>
          <cell r="X24">
            <v>0.5</v>
          </cell>
          <cell r="Y24">
            <v>-8.6999999999999994E-3</v>
          </cell>
          <cell r="Z24">
            <v>-0.19089999999999999</v>
          </cell>
          <cell r="AA24">
            <v>-0.19040000000000001</v>
          </cell>
          <cell r="AB24">
            <v>-2.3599999999999999E-2</v>
          </cell>
          <cell r="AC24">
            <v>-4.5499999999999999E-2</v>
          </cell>
          <cell r="AD24">
            <v>-1.29E-2</v>
          </cell>
          <cell r="AE24">
            <v>-6.8999999999999999E-3</v>
          </cell>
          <cell r="AF24">
            <v>7.5899999999999995E-2</v>
          </cell>
          <cell r="AG24">
            <v>6.8265000000000002</v>
          </cell>
          <cell r="AH24">
            <v>-3.32E-2</v>
          </cell>
          <cell r="AI24">
            <v>1.166E-2</v>
          </cell>
          <cell r="AJ24">
            <v>2E-3</v>
          </cell>
          <cell r="AK24">
            <v>0.7772</v>
          </cell>
          <cell r="AL24">
            <v>5.8900000000000001E-2</v>
          </cell>
          <cell r="AM24">
            <v>0.27660000000000001</v>
          </cell>
          <cell r="AN24">
            <v>30</v>
          </cell>
          <cell r="AO24">
            <v>44.5</v>
          </cell>
          <cell r="AP24">
            <v>131.1</v>
          </cell>
          <cell r="AQ24">
            <v>0.28999999999999998</v>
          </cell>
          <cell r="AR24">
            <v>62.89</v>
          </cell>
          <cell r="AS24">
            <v>0.7</v>
          </cell>
          <cell r="AT24">
            <v>10.99</v>
          </cell>
          <cell r="AU24">
            <v>0.04</v>
          </cell>
          <cell r="AV24">
            <v>121.8</v>
          </cell>
          <cell r="AW24">
            <v>64.599999999999994</v>
          </cell>
        </row>
        <row r="25">
          <cell r="A25" t="str">
            <v>RBB</v>
          </cell>
          <cell r="B25" t="str">
            <v>NM</v>
          </cell>
          <cell r="C25">
            <v>24</v>
          </cell>
          <cell r="D25">
            <v>2300</v>
          </cell>
          <cell r="E25">
            <v>2</v>
          </cell>
          <cell r="F25">
            <v>0.1</v>
          </cell>
          <cell r="G25">
            <v>0.25</v>
          </cell>
          <cell r="H25">
            <v>3.5000000000000001E-3</v>
          </cell>
          <cell r="I25">
            <v>7.0000000000000001E-3</v>
          </cell>
          <cell r="J25">
            <v>3.34</v>
          </cell>
          <cell r="K25">
            <v>108</v>
          </cell>
          <cell r="L25">
            <v>-0.94479999999999997</v>
          </cell>
          <cell r="M25">
            <v>-74.650000000000006</v>
          </cell>
          <cell r="N25">
            <v>25.05</v>
          </cell>
          <cell r="O25">
            <v>41.25</v>
          </cell>
          <cell r="P25">
            <v>-25</v>
          </cell>
          <cell r="Q25">
            <v>0.1</v>
          </cell>
          <cell r="R25">
            <v>35</v>
          </cell>
          <cell r="S25">
            <v>4</v>
          </cell>
          <cell r="T25">
            <v>2</v>
          </cell>
          <cell r="U25">
            <v>1</v>
          </cell>
          <cell r="V25">
            <v>0</v>
          </cell>
          <cell r="W25">
            <v>0</v>
          </cell>
          <cell r="X25">
            <v>0.5</v>
          </cell>
          <cell r="Y25">
            <v>-8.6999999999999994E-3</v>
          </cell>
          <cell r="Z25">
            <v>-0.19089999999999999</v>
          </cell>
          <cell r="AA25">
            <v>-0.19040000000000001</v>
          </cell>
          <cell r="AB25">
            <v>-2.3599999999999999E-2</v>
          </cell>
          <cell r="AC25">
            <v>-4.5499999999999999E-2</v>
          </cell>
          <cell r="AD25">
            <v>-1.29E-2</v>
          </cell>
          <cell r="AE25">
            <v>-6.8999999999999999E-3</v>
          </cell>
          <cell r="AF25">
            <v>7.5899999999999995E-2</v>
          </cell>
          <cell r="AG25">
            <v>6.8265000000000002</v>
          </cell>
          <cell r="AH25">
            <v>-3.32E-2</v>
          </cell>
          <cell r="AI25">
            <v>1.26E-2</v>
          </cell>
          <cell r="AJ25">
            <v>2E-3</v>
          </cell>
          <cell r="AK25">
            <v>0.7772</v>
          </cell>
          <cell r="AL25">
            <v>5.8900000000000001E-2</v>
          </cell>
          <cell r="AM25">
            <v>0.27660000000000001</v>
          </cell>
          <cell r="AN25">
            <v>30</v>
          </cell>
          <cell r="AO25">
            <v>44.5</v>
          </cell>
          <cell r="AP25">
            <v>131.1</v>
          </cell>
          <cell r="AQ25">
            <v>0.28999999999999998</v>
          </cell>
          <cell r="AR25">
            <v>62.89</v>
          </cell>
          <cell r="AS25">
            <v>0.7</v>
          </cell>
          <cell r="AT25">
            <v>10.99</v>
          </cell>
          <cell r="AU25">
            <v>0.04</v>
          </cell>
          <cell r="AV25">
            <v>153</v>
          </cell>
          <cell r="AW25">
            <v>51</v>
          </cell>
        </row>
        <row r="26">
          <cell r="A26" t="str">
            <v>RBB_a</v>
          </cell>
          <cell r="B26" t="str">
            <v>NM</v>
          </cell>
          <cell r="C26">
            <v>25</v>
          </cell>
          <cell r="D26">
            <v>2300</v>
          </cell>
          <cell r="E26">
            <v>2</v>
          </cell>
          <cell r="F26">
            <v>0.1</v>
          </cell>
          <cell r="G26">
            <v>0.25</v>
          </cell>
          <cell r="H26">
            <v>3.5000000000000001E-3</v>
          </cell>
          <cell r="I26">
            <v>7.0000000000000001E-3</v>
          </cell>
          <cell r="J26">
            <v>3.34</v>
          </cell>
          <cell r="K26">
            <v>108</v>
          </cell>
          <cell r="L26">
            <v>-0.94479999999999997</v>
          </cell>
          <cell r="M26">
            <v>-74.650000000000006</v>
          </cell>
          <cell r="N26">
            <v>25.05</v>
          </cell>
          <cell r="O26">
            <v>41.25</v>
          </cell>
          <cell r="P26">
            <v>-25</v>
          </cell>
          <cell r="Q26">
            <v>0.1</v>
          </cell>
          <cell r="R26">
            <v>35</v>
          </cell>
          <cell r="S26">
            <v>4</v>
          </cell>
          <cell r="T26">
            <v>2</v>
          </cell>
          <cell r="U26">
            <v>1</v>
          </cell>
          <cell r="V26">
            <v>0</v>
          </cell>
          <cell r="W26">
            <v>0</v>
          </cell>
          <cell r="X26">
            <v>0.5</v>
          </cell>
          <cell r="Y26">
            <v>-8.6999999999999994E-3</v>
          </cell>
          <cell r="Z26">
            <v>-0.19089999999999999</v>
          </cell>
          <cell r="AA26">
            <v>-0.19040000000000001</v>
          </cell>
          <cell r="AB26">
            <v>-2.3599999999999999E-2</v>
          </cell>
          <cell r="AC26">
            <v>-4.5499999999999999E-2</v>
          </cell>
          <cell r="AD26">
            <v>-1.29E-2</v>
          </cell>
          <cell r="AE26">
            <v>-6.8999999999999999E-3</v>
          </cell>
          <cell r="AF26">
            <v>7.5899999999999995E-2</v>
          </cell>
          <cell r="AG26">
            <v>6.8265000000000002</v>
          </cell>
          <cell r="AH26">
            <v>-3.32E-2</v>
          </cell>
          <cell r="AI26">
            <v>1.298E-2</v>
          </cell>
          <cell r="AJ26">
            <v>2E-3</v>
          </cell>
          <cell r="AK26">
            <v>0.7772</v>
          </cell>
          <cell r="AL26">
            <v>5.8900000000000001E-2</v>
          </cell>
          <cell r="AM26">
            <v>0.27660000000000001</v>
          </cell>
          <cell r="AN26">
            <v>30</v>
          </cell>
          <cell r="AO26">
            <v>44.5</v>
          </cell>
          <cell r="AP26">
            <v>131.1</v>
          </cell>
          <cell r="AQ26">
            <v>0.28999999999999998</v>
          </cell>
          <cell r="AR26">
            <v>62.89</v>
          </cell>
          <cell r="AS26">
            <v>0.7</v>
          </cell>
          <cell r="AT26">
            <v>10.99</v>
          </cell>
          <cell r="AU26">
            <v>0.04</v>
          </cell>
          <cell r="AV26">
            <v>157.80000000000001</v>
          </cell>
          <cell r="AW26">
            <v>45.4</v>
          </cell>
        </row>
        <row r="27">
          <cell r="A27" t="str">
            <v>LBB_m</v>
          </cell>
          <cell r="B27" t="str">
            <v>NM</v>
          </cell>
          <cell r="C27">
            <v>26</v>
          </cell>
          <cell r="D27">
            <v>2300</v>
          </cell>
          <cell r="E27">
            <v>2</v>
          </cell>
          <cell r="F27">
            <v>0.1</v>
          </cell>
          <cell r="G27">
            <v>0.25</v>
          </cell>
          <cell r="H27">
            <v>3.5000000000000001E-3</v>
          </cell>
          <cell r="I27">
            <v>7.0000000000000001E-3</v>
          </cell>
          <cell r="J27">
            <v>3.34</v>
          </cell>
          <cell r="K27">
            <v>108</v>
          </cell>
          <cell r="L27">
            <v>-0.94479999999999997</v>
          </cell>
          <cell r="M27">
            <v>-74.650000000000006</v>
          </cell>
          <cell r="N27">
            <v>25.05</v>
          </cell>
          <cell r="O27">
            <v>41.25</v>
          </cell>
          <cell r="P27">
            <v>-25</v>
          </cell>
          <cell r="Q27">
            <v>0.1</v>
          </cell>
          <cell r="R27">
            <v>35</v>
          </cell>
          <cell r="S27">
            <v>4</v>
          </cell>
          <cell r="T27">
            <v>2</v>
          </cell>
          <cell r="U27">
            <v>1</v>
          </cell>
          <cell r="V27">
            <v>0</v>
          </cell>
          <cell r="W27">
            <v>0</v>
          </cell>
          <cell r="X27">
            <v>0.5</v>
          </cell>
          <cell r="Y27">
            <v>-8.6999999999999994E-3</v>
          </cell>
          <cell r="Z27">
            <v>-0.19089999999999999</v>
          </cell>
          <cell r="AA27">
            <v>-0.19040000000000001</v>
          </cell>
          <cell r="AB27">
            <v>-2.3599999999999999E-2</v>
          </cell>
          <cell r="AC27">
            <v>-4.5499999999999999E-2</v>
          </cell>
          <cell r="AD27">
            <v>-1.29E-2</v>
          </cell>
          <cell r="AE27">
            <v>-6.8999999999999999E-3</v>
          </cell>
          <cell r="AF27">
            <v>7.5899999999999995E-2</v>
          </cell>
          <cell r="AG27">
            <v>6.8265000000000002</v>
          </cell>
          <cell r="AH27">
            <v>-3.32E-2</v>
          </cell>
          <cell r="AI27">
            <v>1.192E-2</v>
          </cell>
          <cell r="AJ27">
            <v>2E-3</v>
          </cell>
          <cell r="AK27">
            <v>0.7772</v>
          </cell>
          <cell r="AL27">
            <v>5.8900000000000001E-2</v>
          </cell>
          <cell r="AM27">
            <v>0.27660000000000001</v>
          </cell>
          <cell r="AN27">
            <v>30</v>
          </cell>
          <cell r="AO27">
            <v>44.5</v>
          </cell>
          <cell r="AP27">
            <v>131.1</v>
          </cell>
          <cell r="AQ27">
            <v>0.28999999999999998</v>
          </cell>
          <cell r="AR27">
            <v>62.89</v>
          </cell>
          <cell r="AS27">
            <v>0.7</v>
          </cell>
          <cell r="AT27">
            <v>10.99</v>
          </cell>
          <cell r="AU27">
            <v>0.04</v>
          </cell>
          <cell r="AV27">
            <v>127.8</v>
          </cell>
          <cell r="AW27">
            <v>69</v>
          </cell>
        </row>
        <row r="28">
          <cell r="A28" t="str">
            <v>LBB</v>
          </cell>
          <cell r="B28" t="str">
            <v>NM</v>
          </cell>
          <cell r="C28">
            <v>27</v>
          </cell>
          <cell r="D28">
            <v>2300</v>
          </cell>
          <cell r="E28">
            <v>2</v>
          </cell>
          <cell r="F28">
            <v>0.1</v>
          </cell>
          <cell r="G28">
            <v>0.25</v>
          </cell>
          <cell r="H28">
            <v>3.5000000000000001E-3</v>
          </cell>
          <cell r="I28">
            <v>7.0000000000000001E-3</v>
          </cell>
          <cell r="J28">
            <v>3.34</v>
          </cell>
          <cell r="K28">
            <v>108</v>
          </cell>
          <cell r="L28">
            <v>-0.94479999999999997</v>
          </cell>
          <cell r="M28">
            <v>-74.650000000000006</v>
          </cell>
          <cell r="N28">
            <v>25.05</v>
          </cell>
          <cell r="O28">
            <v>41.25</v>
          </cell>
          <cell r="P28">
            <v>-25</v>
          </cell>
          <cell r="Q28">
            <v>0.1</v>
          </cell>
          <cell r="R28">
            <v>35</v>
          </cell>
          <cell r="S28">
            <v>4</v>
          </cell>
          <cell r="T28">
            <v>2</v>
          </cell>
          <cell r="U28">
            <v>1</v>
          </cell>
          <cell r="V28">
            <v>0</v>
          </cell>
          <cell r="W28">
            <v>0</v>
          </cell>
          <cell r="X28">
            <v>0.5</v>
          </cell>
          <cell r="Y28">
            <v>-8.6999999999999994E-3</v>
          </cell>
          <cell r="Z28">
            <v>-0.19089999999999999</v>
          </cell>
          <cell r="AA28">
            <v>-0.19040000000000001</v>
          </cell>
          <cell r="AB28">
            <v>-2.3599999999999999E-2</v>
          </cell>
          <cell r="AC28">
            <v>-4.5499999999999999E-2</v>
          </cell>
          <cell r="AD28">
            <v>-1.29E-2</v>
          </cell>
          <cell r="AE28">
            <v>-6.8999999999999999E-3</v>
          </cell>
          <cell r="AF28">
            <v>7.5899999999999995E-2</v>
          </cell>
          <cell r="AG28">
            <v>6.8265000000000002</v>
          </cell>
          <cell r="AH28">
            <v>-3.32E-2</v>
          </cell>
          <cell r="AI28">
            <v>1.2919999999999999E-2</v>
          </cell>
          <cell r="AJ28">
            <v>2E-3</v>
          </cell>
          <cell r="AK28">
            <v>0.7772</v>
          </cell>
          <cell r="AL28">
            <v>5.8900000000000001E-2</v>
          </cell>
          <cell r="AM28">
            <v>0.27660000000000001</v>
          </cell>
          <cell r="AN28">
            <v>30</v>
          </cell>
          <cell r="AO28">
            <v>44.5</v>
          </cell>
          <cell r="AP28">
            <v>131.1</v>
          </cell>
          <cell r="AQ28">
            <v>0.28999999999999998</v>
          </cell>
          <cell r="AR28">
            <v>62.89</v>
          </cell>
          <cell r="AS28">
            <v>0.7</v>
          </cell>
          <cell r="AT28">
            <v>10.99</v>
          </cell>
          <cell r="AU28">
            <v>0.04</v>
          </cell>
          <cell r="AV28">
            <v>157</v>
          </cell>
          <cell r="AW28">
            <v>59.8</v>
          </cell>
        </row>
        <row r="29">
          <cell r="A29" t="str">
            <v>LBB_a</v>
          </cell>
          <cell r="B29" t="str">
            <v>NM</v>
          </cell>
          <cell r="C29">
            <v>28</v>
          </cell>
          <cell r="D29">
            <v>2300</v>
          </cell>
          <cell r="E29">
            <v>2</v>
          </cell>
          <cell r="F29">
            <v>0.1</v>
          </cell>
          <cell r="G29">
            <v>0.25</v>
          </cell>
          <cell r="H29">
            <v>3.5000000000000001E-3</v>
          </cell>
          <cell r="I29">
            <v>7.0000000000000001E-3</v>
          </cell>
          <cell r="J29">
            <v>3.34</v>
          </cell>
          <cell r="K29">
            <v>108</v>
          </cell>
          <cell r="L29">
            <v>-0.94479999999999997</v>
          </cell>
          <cell r="M29">
            <v>-74.650000000000006</v>
          </cell>
          <cell r="N29">
            <v>25.05</v>
          </cell>
          <cell r="O29">
            <v>41.25</v>
          </cell>
          <cell r="P29">
            <v>-25</v>
          </cell>
          <cell r="Q29">
            <v>0.1</v>
          </cell>
          <cell r="R29">
            <v>35</v>
          </cell>
          <cell r="S29">
            <v>4</v>
          </cell>
          <cell r="T29">
            <v>2</v>
          </cell>
          <cell r="U29">
            <v>1</v>
          </cell>
          <cell r="V29">
            <v>0</v>
          </cell>
          <cell r="W29">
            <v>0</v>
          </cell>
          <cell r="X29">
            <v>0.5</v>
          </cell>
          <cell r="Y29">
            <v>-8.6999999999999994E-3</v>
          </cell>
          <cell r="Z29">
            <v>-0.19089999999999999</v>
          </cell>
          <cell r="AA29">
            <v>-0.19040000000000001</v>
          </cell>
          <cell r="AB29">
            <v>-2.3599999999999999E-2</v>
          </cell>
          <cell r="AC29">
            <v>-4.5499999999999999E-2</v>
          </cell>
          <cell r="AD29">
            <v>-1.29E-2</v>
          </cell>
          <cell r="AE29">
            <v>-6.8999999999999999E-3</v>
          </cell>
          <cell r="AF29">
            <v>7.5899999999999995E-2</v>
          </cell>
          <cell r="AG29">
            <v>6.8265000000000002</v>
          </cell>
          <cell r="AH29">
            <v>-3.32E-2</v>
          </cell>
          <cell r="AI29">
            <v>1.3339999999999999E-2</v>
          </cell>
          <cell r="AJ29">
            <v>2E-3</v>
          </cell>
          <cell r="AK29">
            <v>0.7772</v>
          </cell>
          <cell r="AL29">
            <v>5.8900000000000001E-2</v>
          </cell>
          <cell r="AM29">
            <v>0.27660000000000001</v>
          </cell>
          <cell r="AN29">
            <v>30</v>
          </cell>
          <cell r="AO29">
            <v>44.5</v>
          </cell>
          <cell r="AP29">
            <v>131.1</v>
          </cell>
          <cell r="AQ29">
            <v>0.28999999999999998</v>
          </cell>
          <cell r="AR29">
            <v>62.89</v>
          </cell>
          <cell r="AS29">
            <v>0.7</v>
          </cell>
          <cell r="AT29">
            <v>10.99</v>
          </cell>
          <cell r="AU29">
            <v>0.04</v>
          </cell>
          <cell r="AV29">
            <v>164.2</v>
          </cell>
          <cell r="AW29">
            <v>57.8</v>
          </cell>
        </row>
        <row r="30">
          <cell r="A30" t="str">
            <v>RVA</v>
          </cell>
          <cell r="B30" t="str">
            <v>M</v>
          </cell>
          <cell r="C30">
            <v>29</v>
          </cell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>
            <v>-8.6999999999999994E-3</v>
          </cell>
          <cell r="Z30">
            <v>-0.19089999999999999</v>
          </cell>
          <cell r="AA30">
            <v>-0.19040000000000001</v>
          </cell>
          <cell r="AB30">
            <v>-2.3599999999999999E-2</v>
          </cell>
          <cell r="AC30">
            <v>-4.5499999999999999E-2</v>
          </cell>
          <cell r="AD30">
            <v>-1.29E-2</v>
          </cell>
          <cell r="AE30">
            <v>-6.8999999999999999E-3</v>
          </cell>
          <cell r="AF30">
            <v>7.5899999999999995E-2</v>
          </cell>
          <cell r="AG30">
            <v>6.8265000000000002</v>
          </cell>
          <cell r="AH30">
            <v>-1.7809705166582E-2</v>
          </cell>
          <cell r="AI30">
            <v>1.3971373768643099E-2</v>
          </cell>
          <cell r="AJ30">
            <v>1.7832110055871001E-3</v>
          </cell>
          <cell r="AK30">
            <v>0.7772</v>
          </cell>
          <cell r="AL30">
            <v>5.8900000000000001E-2</v>
          </cell>
          <cell r="AM30">
            <v>0.27660000000000001</v>
          </cell>
          <cell r="AN30">
            <v>30</v>
          </cell>
          <cell r="AO30">
            <v>44.5</v>
          </cell>
          <cell r="AP30">
            <v>122.870184758603</v>
          </cell>
          <cell r="AQ30">
            <v>0.28999999999999998</v>
          </cell>
          <cell r="AR30">
            <v>62.89</v>
          </cell>
          <cell r="AS30">
            <v>0.7</v>
          </cell>
          <cell r="AT30">
            <v>10.99</v>
          </cell>
          <cell r="AU30">
            <v>0.04</v>
          </cell>
          <cell r="AV30">
            <v>160.20000000000002</v>
          </cell>
          <cell r="AW30">
            <v>42.599999999999994</v>
          </cell>
        </row>
        <row r="31">
          <cell r="A31" t="str">
            <v>LVA</v>
          </cell>
          <cell r="B31" t="str">
            <v>M</v>
          </cell>
          <cell r="C31">
            <v>30</v>
          </cell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>
            <v>-8.6999999999999994E-3</v>
          </cell>
          <cell r="Z31">
            <v>-0.19089999999999999</v>
          </cell>
          <cell r="AA31">
            <v>-0.19040000000000001</v>
          </cell>
          <cell r="AB31">
            <v>-2.3599999999999999E-2</v>
          </cell>
          <cell r="AC31">
            <v>-4.5499999999999999E-2</v>
          </cell>
          <cell r="AD31">
            <v>-1.29E-2</v>
          </cell>
          <cell r="AE31">
            <v>-6.8999999999999999E-3</v>
          </cell>
          <cell r="AF31">
            <v>7.5899999999999995E-2</v>
          </cell>
          <cell r="AG31">
            <v>6.8265000000000002</v>
          </cell>
          <cell r="AH31">
            <v>-1.7809705166582E-2</v>
          </cell>
          <cell r="AI31">
            <v>1.3971373768643099E-2</v>
          </cell>
          <cell r="AJ31">
            <v>1.7832110055871001E-3</v>
          </cell>
          <cell r="AK31">
            <v>0.7772</v>
          </cell>
          <cell r="AL31">
            <v>5.8900000000000001E-2</v>
          </cell>
          <cell r="AM31">
            <v>0.27660000000000001</v>
          </cell>
          <cell r="AN31">
            <v>30</v>
          </cell>
          <cell r="AO31">
            <v>44.5</v>
          </cell>
          <cell r="AP31">
            <v>122.870184758603</v>
          </cell>
          <cell r="AQ31">
            <v>0.28999999999999998</v>
          </cell>
          <cell r="AR31">
            <v>62.89</v>
          </cell>
          <cell r="AS31">
            <v>0.7</v>
          </cell>
          <cell r="AT31">
            <v>10.99</v>
          </cell>
          <cell r="AU31">
            <v>0.04</v>
          </cell>
          <cell r="AV31">
            <v>167.79999999999998</v>
          </cell>
          <cell r="AW31">
            <v>56.8</v>
          </cell>
        </row>
        <row r="32">
          <cell r="A32" t="str">
            <v>SEP_RV_m</v>
          </cell>
          <cell r="B32" t="str">
            <v>M</v>
          </cell>
          <cell r="C32">
            <v>31</v>
          </cell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>
            <v>-8.6999999999999994E-3</v>
          </cell>
          <cell r="Z32">
            <v>-0.19089999999999999</v>
          </cell>
          <cell r="AA32">
            <v>-0.19040000000000001</v>
          </cell>
          <cell r="AB32">
            <v>-2.3599999999999999E-2</v>
          </cell>
          <cell r="AC32">
            <v>-4.5499999999999999E-2</v>
          </cell>
          <cell r="AD32">
            <v>-1.29E-2</v>
          </cell>
          <cell r="AE32">
            <v>-6.8999999999999999E-3</v>
          </cell>
          <cell r="AF32">
            <v>7.5899999999999995E-2</v>
          </cell>
          <cell r="AG32">
            <v>6.8265000000000002</v>
          </cell>
          <cell r="AH32">
            <v>-1.7809705166582E-2</v>
          </cell>
          <cell r="AI32">
            <v>1.3971373768643099E-2</v>
          </cell>
          <cell r="AJ32">
            <v>1.7832110055871001E-3</v>
          </cell>
          <cell r="AK32">
            <v>0.7772</v>
          </cell>
          <cell r="AL32">
            <v>5.8900000000000001E-2</v>
          </cell>
          <cell r="AM32">
            <v>0.27660000000000001</v>
          </cell>
          <cell r="AN32">
            <v>30</v>
          </cell>
          <cell r="AO32">
            <v>44.5</v>
          </cell>
          <cell r="AP32">
            <v>122.870184758603</v>
          </cell>
          <cell r="AQ32">
            <v>0.28999999999999998</v>
          </cell>
          <cell r="AR32">
            <v>62.89</v>
          </cell>
          <cell r="AS32">
            <v>0.7</v>
          </cell>
          <cell r="AT32">
            <v>10.99</v>
          </cell>
          <cell r="AU32">
            <v>0.04</v>
          </cell>
          <cell r="AV32">
            <v>114.6</v>
          </cell>
          <cell r="AW32">
            <v>59.8</v>
          </cell>
        </row>
        <row r="33">
          <cell r="A33" t="str">
            <v>SEP_RV</v>
          </cell>
          <cell r="B33" t="str">
            <v>M</v>
          </cell>
          <cell r="C33">
            <v>32</v>
          </cell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>
            <v>-8.6999999999999994E-3</v>
          </cell>
          <cell r="Z33">
            <v>-0.19089999999999999</v>
          </cell>
          <cell r="AA33">
            <v>-0.19040000000000001</v>
          </cell>
          <cell r="AB33">
            <v>-2.3599999999999999E-2</v>
          </cell>
          <cell r="AC33">
            <v>-4.5499999999999999E-2</v>
          </cell>
          <cell r="AD33">
            <v>-1.29E-2</v>
          </cell>
          <cell r="AE33">
            <v>-6.8999999999999999E-3</v>
          </cell>
          <cell r="AF33">
            <v>7.5899999999999995E-2</v>
          </cell>
          <cell r="AG33">
            <v>6.8265000000000002</v>
          </cell>
          <cell r="AH33">
            <v>-1.7809705166582E-2</v>
          </cell>
          <cell r="AI33">
            <v>1.3971373768643099E-2</v>
          </cell>
          <cell r="AJ33">
            <v>1.7832110055871001E-3</v>
          </cell>
          <cell r="AK33">
            <v>0.7772</v>
          </cell>
          <cell r="AL33">
            <v>5.8900000000000001E-2</v>
          </cell>
          <cell r="AM33">
            <v>0.27660000000000001</v>
          </cell>
          <cell r="AN33">
            <v>30</v>
          </cell>
          <cell r="AO33">
            <v>44.5</v>
          </cell>
          <cell r="AP33">
            <v>122.870184758603</v>
          </cell>
          <cell r="AQ33">
            <v>0.28999999999999998</v>
          </cell>
          <cell r="AR33">
            <v>62.89</v>
          </cell>
          <cell r="AS33">
            <v>0.7</v>
          </cell>
          <cell r="AT33">
            <v>10.99</v>
          </cell>
          <cell r="AU33">
            <v>0.04</v>
          </cell>
          <cell r="AV33">
            <v>83</v>
          </cell>
          <cell r="AW33">
            <v>91.4</v>
          </cell>
        </row>
        <row r="34">
          <cell r="A34" t="str">
            <v>RV_m</v>
          </cell>
          <cell r="B34" t="str">
            <v>NM</v>
          </cell>
          <cell r="C34">
            <v>33</v>
          </cell>
          <cell r="D34">
            <v>2300</v>
          </cell>
          <cell r="E34">
            <v>2</v>
          </cell>
          <cell r="F34">
            <v>0.1</v>
          </cell>
          <cell r="G34">
            <v>0.25</v>
          </cell>
          <cell r="H34">
            <v>3.5000000000000001E-3</v>
          </cell>
          <cell r="I34">
            <v>7.0000000000000001E-3</v>
          </cell>
          <cell r="J34">
            <v>3.34</v>
          </cell>
          <cell r="K34">
            <v>108</v>
          </cell>
          <cell r="L34">
            <v>-0.94479999999999997</v>
          </cell>
          <cell r="M34">
            <v>-74.650000000000006</v>
          </cell>
          <cell r="N34">
            <v>25.05</v>
          </cell>
          <cell r="O34">
            <v>41.25</v>
          </cell>
          <cell r="P34">
            <v>-25</v>
          </cell>
          <cell r="Q34">
            <v>0.1</v>
          </cell>
          <cell r="R34">
            <v>35</v>
          </cell>
          <cell r="S34">
            <v>4</v>
          </cell>
          <cell r="T34">
            <v>2</v>
          </cell>
          <cell r="U34">
            <v>1</v>
          </cell>
          <cell r="V34">
            <v>0</v>
          </cell>
          <cell r="W34">
            <v>0</v>
          </cell>
          <cell r="X34">
            <v>0.5</v>
          </cell>
          <cell r="Y34">
            <v>-8.6999999999999994E-3</v>
          </cell>
          <cell r="Z34">
            <v>-0.19089999999999999</v>
          </cell>
          <cell r="AA34">
            <v>-0.19040000000000001</v>
          </cell>
          <cell r="AB34">
            <v>-2.3599999999999999E-2</v>
          </cell>
          <cell r="AC34">
            <v>-4.5499999999999999E-2</v>
          </cell>
          <cell r="AD34">
            <v>-1.29E-2</v>
          </cell>
          <cell r="AE34">
            <v>-6.8999999999999999E-3</v>
          </cell>
          <cell r="AF34">
            <v>7.5899999999999995E-2</v>
          </cell>
          <cell r="AG34">
            <v>6.8265000000000002</v>
          </cell>
          <cell r="AH34">
            <v>-3.32E-2</v>
          </cell>
          <cell r="AI34">
            <v>1.3939999999999999E-2</v>
          </cell>
          <cell r="AJ34">
            <v>2E-3</v>
          </cell>
          <cell r="AK34">
            <v>0.7772</v>
          </cell>
          <cell r="AL34">
            <v>5.8900000000000001E-2</v>
          </cell>
          <cell r="AM34">
            <v>0.27660000000000001</v>
          </cell>
          <cell r="AN34">
            <v>30</v>
          </cell>
          <cell r="AO34">
            <v>44.5</v>
          </cell>
          <cell r="AP34">
            <v>131.1</v>
          </cell>
          <cell r="AQ34">
            <v>0.28999999999999998</v>
          </cell>
          <cell r="AR34">
            <v>62.89</v>
          </cell>
          <cell r="AS34">
            <v>0.7</v>
          </cell>
          <cell r="AT34">
            <v>10.99</v>
          </cell>
          <cell r="AU34">
            <v>0.04</v>
          </cell>
          <cell r="AV34">
            <v>112.2</v>
          </cell>
          <cell r="AW34">
            <v>38.6</v>
          </cell>
        </row>
        <row r="35">
          <cell r="A35" t="str">
            <v>RV</v>
          </cell>
          <cell r="B35" t="str">
            <v>NM</v>
          </cell>
          <cell r="C35">
            <v>34</v>
          </cell>
          <cell r="D35">
            <v>2300</v>
          </cell>
          <cell r="E35">
            <v>2</v>
          </cell>
          <cell r="F35">
            <v>0.1</v>
          </cell>
          <cell r="G35">
            <v>0.25</v>
          </cell>
          <cell r="H35">
            <v>3.5000000000000001E-3</v>
          </cell>
          <cell r="I35">
            <v>7.0000000000000001E-3</v>
          </cell>
          <cell r="J35">
            <v>3.34</v>
          </cell>
          <cell r="K35">
            <v>108</v>
          </cell>
          <cell r="L35">
            <v>-0.94479999999999997</v>
          </cell>
          <cell r="M35">
            <v>-74.650000000000006</v>
          </cell>
          <cell r="N35">
            <v>25.05</v>
          </cell>
          <cell r="O35">
            <v>41.25</v>
          </cell>
          <cell r="P35">
            <v>-25</v>
          </cell>
          <cell r="Q35">
            <v>0.1</v>
          </cell>
          <cell r="R35">
            <v>35</v>
          </cell>
          <cell r="S35">
            <v>4</v>
          </cell>
          <cell r="T35">
            <v>2</v>
          </cell>
          <cell r="U35">
            <v>1</v>
          </cell>
          <cell r="V35">
            <v>0</v>
          </cell>
          <cell r="W35">
            <v>0</v>
          </cell>
          <cell r="X35">
            <v>0.5</v>
          </cell>
          <cell r="Y35">
            <v>-8.6999999999999994E-3</v>
          </cell>
          <cell r="Z35">
            <v>-0.19089999999999999</v>
          </cell>
          <cell r="AA35">
            <v>-0.19040000000000001</v>
          </cell>
          <cell r="AB35">
            <v>-2.3599999999999999E-2</v>
          </cell>
          <cell r="AC35">
            <v>-4.5499999999999999E-2</v>
          </cell>
          <cell r="AD35">
            <v>-1.29E-2</v>
          </cell>
          <cell r="AE35">
            <v>-6.8999999999999999E-3</v>
          </cell>
          <cell r="AF35">
            <v>7.5899999999999995E-2</v>
          </cell>
          <cell r="AG35">
            <v>6.8265000000000002</v>
          </cell>
          <cell r="AH35">
            <v>-3.32E-2</v>
          </cell>
          <cell r="AI35">
            <v>1.3939999999999999E-2</v>
          </cell>
          <cell r="AJ35">
            <v>2E-3</v>
          </cell>
          <cell r="AK35">
            <v>0.7772</v>
          </cell>
          <cell r="AL35">
            <v>5.8900000000000001E-2</v>
          </cell>
          <cell r="AM35">
            <v>0.27660000000000001</v>
          </cell>
          <cell r="AN35">
            <v>30</v>
          </cell>
          <cell r="AO35">
            <v>44.5</v>
          </cell>
          <cell r="AP35">
            <v>131.1</v>
          </cell>
          <cell r="AQ35">
            <v>0.28999999999999998</v>
          </cell>
          <cell r="AR35">
            <v>62.89</v>
          </cell>
          <cell r="AS35">
            <v>0.7</v>
          </cell>
          <cell r="AT35">
            <v>10.99</v>
          </cell>
          <cell r="AU35">
            <v>0.04</v>
          </cell>
          <cell r="AV35">
            <v>75</v>
          </cell>
          <cell r="AW35">
            <v>59</v>
          </cell>
        </row>
        <row r="36">
          <cell r="A36" t="str">
            <v>SEP_LV</v>
          </cell>
          <cell r="B36" t="str">
            <v>M</v>
          </cell>
          <cell r="C36">
            <v>35</v>
          </cell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>
            <v>-8.6999999999999994E-3</v>
          </cell>
          <cell r="Z36">
            <v>-0.19089999999999999</v>
          </cell>
          <cell r="AA36">
            <v>-0.19040000000000001</v>
          </cell>
          <cell r="AB36">
            <v>-2.3599999999999999E-2</v>
          </cell>
          <cell r="AC36">
            <v>-4.5499999999999999E-2</v>
          </cell>
          <cell r="AD36">
            <v>-1.29E-2</v>
          </cell>
          <cell r="AE36">
            <v>-6.8999999999999999E-3</v>
          </cell>
          <cell r="AF36">
            <v>7.5899999999999995E-2</v>
          </cell>
          <cell r="AG36">
            <v>6.8265000000000002</v>
          </cell>
          <cell r="AH36">
            <v>-1.7809705166582E-2</v>
          </cell>
          <cell r="AI36">
            <v>1.3971373768643099E-2</v>
          </cell>
          <cell r="AJ36">
            <v>1.7832110055871001E-3</v>
          </cell>
          <cell r="AK36">
            <v>0.7772</v>
          </cell>
          <cell r="AL36">
            <v>5.8900000000000001E-2</v>
          </cell>
          <cell r="AM36">
            <v>0.27660000000000001</v>
          </cell>
          <cell r="AN36">
            <v>30</v>
          </cell>
          <cell r="AO36">
            <v>44.5</v>
          </cell>
          <cell r="AP36">
            <v>122.870184758603</v>
          </cell>
          <cell r="AQ36">
            <v>0.28999999999999998</v>
          </cell>
          <cell r="AR36">
            <v>62.89</v>
          </cell>
          <cell r="AS36">
            <v>0.7</v>
          </cell>
          <cell r="AT36">
            <v>10.99</v>
          </cell>
          <cell r="AU36">
            <v>0.04</v>
          </cell>
          <cell r="AV36">
            <v>101.8</v>
          </cell>
          <cell r="AW36">
            <v>105.4</v>
          </cell>
        </row>
        <row r="37">
          <cell r="A37" t="str">
            <v>CS_LV</v>
          </cell>
          <cell r="B37" t="str">
            <v>M</v>
          </cell>
          <cell r="C37">
            <v>36</v>
          </cell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>
            <v>-8.6999999999999994E-3</v>
          </cell>
          <cell r="Z37">
            <v>-0.19089999999999999</v>
          </cell>
          <cell r="AA37">
            <v>-0.19040000000000001</v>
          </cell>
          <cell r="AB37">
            <v>-2.3599999999999999E-2</v>
          </cell>
          <cell r="AC37">
            <v>-4.5499999999999999E-2</v>
          </cell>
          <cell r="AD37">
            <v>-1.29E-2</v>
          </cell>
          <cell r="AE37">
            <v>-6.8999999999999999E-3</v>
          </cell>
          <cell r="AF37">
            <v>7.5899999999999995E-2</v>
          </cell>
          <cell r="AG37">
            <v>6.8265000000000002</v>
          </cell>
          <cell r="AH37">
            <v>-1.7809705166582E-2</v>
          </cell>
          <cell r="AI37">
            <v>1.3971373768643099E-2</v>
          </cell>
          <cell r="AJ37">
            <v>1.7832110055871001E-3</v>
          </cell>
          <cell r="AK37">
            <v>0.7772</v>
          </cell>
          <cell r="AL37">
            <v>5.8900000000000001E-2</v>
          </cell>
          <cell r="AM37">
            <v>0.27660000000000001</v>
          </cell>
          <cell r="AN37">
            <v>30</v>
          </cell>
          <cell r="AO37">
            <v>44.5</v>
          </cell>
          <cell r="AP37">
            <v>122.870184758603</v>
          </cell>
          <cell r="AQ37">
            <v>0.28999999999999998</v>
          </cell>
          <cell r="AR37">
            <v>62.89</v>
          </cell>
          <cell r="AS37">
            <v>0.7</v>
          </cell>
          <cell r="AT37">
            <v>10.99</v>
          </cell>
          <cell r="AU37">
            <v>0.04</v>
          </cell>
          <cell r="AV37">
            <v>125</v>
          </cell>
          <cell r="AW37">
            <v>126.6</v>
          </cell>
        </row>
        <row r="38">
          <cell r="A38" t="str">
            <v>SEP_LV_m</v>
          </cell>
          <cell r="B38" t="str">
            <v>M</v>
          </cell>
          <cell r="C38">
            <v>37</v>
          </cell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>
            <v>-8.6999999999999994E-3</v>
          </cell>
          <cell r="Z38">
            <v>-0.19089999999999999</v>
          </cell>
          <cell r="AA38">
            <v>-0.19040000000000001</v>
          </cell>
          <cell r="AB38">
            <v>-2.3599999999999999E-2</v>
          </cell>
          <cell r="AC38">
            <v>-4.5499999999999999E-2</v>
          </cell>
          <cell r="AD38">
            <v>-1.29E-2</v>
          </cell>
          <cell r="AE38">
            <v>-6.8999999999999999E-3</v>
          </cell>
          <cell r="AF38">
            <v>7.5899999999999995E-2</v>
          </cell>
          <cell r="AG38">
            <v>6.8265000000000002</v>
          </cell>
          <cell r="AH38">
            <v>-1.7809705166582E-2</v>
          </cell>
          <cell r="AI38">
            <v>1.3971373768643099E-2</v>
          </cell>
          <cell r="AJ38">
            <v>1.7832110055871001E-3</v>
          </cell>
          <cell r="AK38">
            <v>0.7772</v>
          </cell>
          <cell r="AL38">
            <v>5.8900000000000001E-2</v>
          </cell>
          <cell r="AM38">
            <v>0.27660000000000001</v>
          </cell>
          <cell r="AN38">
            <v>30</v>
          </cell>
          <cell r="AO38">
            <v>44.5</v>
          </cell>
          <cell r="AP38">
            <v>122.870184758603</v>
          </cell>
          <cell r="AQ38">
            <v>0.28999999999999998</v>
          </cell>
          <cell r="AR38">
            <v>62.89</v>
          </cell>
          <cell r="AS38">
            <v>0.7</v>
          </cell>
          <cell r="AT38">
            <v>10.99</v>
          </cell>
          <cell r="AU38">
            <v>0.04</v>
          </cell>
          <cell r="AV38">
            <v>131</v>
          </cell>
          <cell r="AW38">
            <v>75.8</v>
          </cell>
        </row>
        <row r="39">
          <cell r="A39" t="str">
            <v>LV_m</v>
          </cell>
          <cell r="B39" t="str">
            <v>NM</v>
          </cell>
          <cell r="C39">
            <v>38</v>
          </cell>
          <cell r="D39">
            <v>2300</v>
          </cell>
          <cell r="E39">
            <v>2</v>
          </cell>
          <cell r="F39">
            <v>0.1</v>
          </cell>
          <cell r="G39">
            <v>0.25</v>
          </cell>
          <cell r="H39">
            <v>3.5000000000000001E-3</v>
          </cell>
          <cell r="I39">
            <v>7.0000000000000001E-3</v>
          </cell>
          <cell r="J39">
            <v>3.34</v>
          </cell>
          <cell r="K39">
            <v>108</v>
          </cell>
          <cell r="L39">
            <v>-0.94479999999999997</v>
          </cell>
          <cell r="M39">
            <v>-74.650000000000006</v>
          </cell>
          <cell r="N39">
            <v>25.05</v>
          </cell>
          <cell r="O39">
            <v>41.25</v>
          </cell>
          <cell r="P39">
            <v>-25</v>
          </cell>
          <cell r="Q39">
            <v>0.1</v>
          </cell>
          <cell r="R39">
            <v>35</v>
          </cell>
          <cell r="S39">
            <v>4</v>
          </cell>
          <cell r="T39">
            <v>2</v>
          </cell>
          <cell r="U39">
            <v>1</v>
          </cell>
          <cell r="V39">
            <v>0</v>
          </cell>
          <cell r="W39">
            <v>0</v>
          </cell>
          <cell r="X39">
            <v>0.5</v>
          </cell>
          <cell r="Y39">
            <v>-8.6999999999999994E-3</v>
          </cell>
          <cell r="Z39">
            <v>-0.19089999999999999</v>
          </cell>
          <cell r="AA39">
            <v>-0.19040000000000001</v>
          </cell>
          <cell r="AB39">
            <v>-2.3599999999999999E-2</v>
          </cell>
          <cell r="AC39">
            <v>-4.5499999999999999E-2</v>
          </cell>
          <cell r="AD39">
            <v>-1.29E-2</v>
          </cell>
          <cell r="AE39">
            <v>-6.8999999999999999E-3</v>
          </cell>
          <cell r="AF39">
            <v>7.5899999999999995E-2</v>
          </cell>
          <cell r="AG39">
            <v>6.8265000000000002</v>
          </cell>
          <cell r="AH39">
            <v>-3.32E-2</v>
          </cell>
          <cell r="AI39">
            <v>1.436E-2</v>
          </cell>
          <cell r="AJ39">
            <v>2E-3</v>
          </cell>
          <cell r="AK39">
            <v>0.7772</v>
          </cell>
          <cell r="AL39">
            <v>5.8900000000000001E-2</v>
          </cell>
          <cell r="AM39">
            <v>0.27660000000000001</v>
          </cell>
          <cell r="AN39">
            <v>30</v>
          </cell>
          <cell r="AO39">
            <v>44.5</v>
          </cell>
          <cell r="AP39">
            <v>131.1</v>
          </cell>
          <cell r="AQ39">
            <v>0.28999999999999998</v>
          </cell>
          <cell r="AR39">
            <v>62.89</v>
          </cell>
          <cell r="AS39">
            <v>0.7</v>
          </cell>
          <cell r="AT39">
            <v>10.99</v>
          </cell>
          <cell r="AU39">
            <v>0.04</v>
          </cell>
          <cell r="AV39">
            <v>159.4</v>
          </cell>
          <cell r="AW39">
            <v>94.2</v>
          </cell>
        </row>
        <row r="40">
          <cell r="A40" t="str">
            <v>LV</v>
          </cell>
          <cell r="B40" t="str">
            <v>NM</v>
          </cell>
          <cell r="C40">
            <v>39</v>
          </cell>
          <cell r="D40">
            <v>2300</v>
          </cell>
          <cell r="E40">
            <v>2</v>
          </cell>
          <cell r="F40">
            <v>0.1</v>
          </cell>
          <cell r="G40">
            <v>0.25</v>
          </cell>
          <cell r="H40">
            <v>3.5000000000000001E-3</v>
          </cell>
          <cell r="I40">
            <v>7.0000000000000001E-3</v>
          </cell>
          <cell r="J40">
            <v>3.34</v>
          </cell>
          <cell r="K40">
            <v>108</v>
          </cell>
          <cell r="L40">
            <v>-0.94479999999999997</v>
          </cell>
          <cell r="M40">
            <v>-74.650000000000006</v>
          </cell>
          <cell r="N40">
            <v>25.05</v>
          </cell>
          <cell r="O40">
            <v>41.25</v>
          </cell>
          <cell r="P40">
            <v>-25</v>
          </cell>
          <cell r="Q40">
            <v>0.1</v>
          </cell>
          <cell r="R40">
            <v>35</v>
          </cell>
          <cell r="S40">
            <v>4</v>
          </cell>
          <cell r="T40">
            <v>2</v>
          </cell>
          <cell r="U40">
            <v>1</v>
          </cell>
          <cell r="V40">
            <v>0</v>
          </cell>
          <cell r="W40">
            <v>0</v>
          </cell>
          <cell r="X40">
            <v>0.5</v>
          </cell>
          <cell r="Y40">
            <v>-8.6999999999999994E-3</v>
          </cell>
          <cell r="Z40">
            <v>-0.19089999999999999</v>
          </cell>
          <cell r="AA40">
            <v>-0.19040000000000001</v>
          </cell>
          <cell r="AB40">
            <v>-2.3599999999999999E-2</v>
          </cell>
          <cell r="AC40">
            <v>-4.5499999999999999E-2</v>
          </cell>
          <cell r="AD40">
            <v>-1.29E-2</v>
          </cell>
          <cell r="AE40">
            <v>-6.8999999999999999E-3</v>
          </cell>
          <cell r="AF40">
            <v>7.5899999999999995E-2</v>
          </cell>
          <cell r="AG40">
            <v>6.8265000000000002</v>
          </cell>
          <cell r="AH40">
            <v>-3.32E-2</v>
          </cell>
          <cell r="AI40">
            <v>1.436E-2</v>
          </cell>
          <cell r="AJ40">
            <v>2E-3</v>
          </cell>
          <cell r="AK40">
            <v>0.7772</v>
          </cell>
          <cell r="AL40">
            <v>5.8900000000000001E-2</v>
          </cell>
          <cell r="AM40">
            <v>0.27660000000000001</v>
          </cell>
          <cell r="AN40">
            <v>30</v>
          </cell>
          <cell r="AO40">
            <v>44.5</v>
          </cell>
          <cell r="AP40">
            <v>131.1</v>
          </cell>
          <cell r="AQ40">
            <v>0.28999999999999998</v>
          </cell>
          <cell r="AR40">
            <v>62.89</v>
          </cell>
          <cell r="AS40">
            <v>0.7</v>
          </cell>
          <cell r="AT40">
            <v>10.99</v>
          </cell>
          <cell r="AU40">
            <v>0.04</v>
          </cell>
          <cell r="AV40">
            <v>143.4</v>
          </cell>
          <cell r="AW40">
            <v>121.4</v>
          </cell>
        </row>
        <row r="41">
          <cell r="A41" t="str">
            <v>RV_mm</v>
          </cell>
          <cell r="B41" t="str">
            <v>M</v>
          </cell>
          <cell r="C41">
            <v>40</v>
          </cell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>
            <v>-8.6999999999999994E-3</v>
          </cell>
          <cell r="Z41">
            <v>-0.19089999999999999</v>
          </cell>
          <cell r="AA41">
            <v>-0.19040000000000001</v>
          </cell>
          <cell r="AB41">
            <v>-2.3599999999999999E-2</v>
          </cell>
          <cell r="AC41">
            <v>-4.5499999999999999E-2</v>
          </cell>
          <cell r="AD41">
            <v>-1.29E-2</v>
          </cell>
          <cell r="AE41">
            <v>-6.8999999999999999E-3</v>
          </cell>
          <cell r="AF41">
            <v>7.5899999999999995E-2</v>
          </cell>
          <cell r="AG41">
            <v>6.8265000000000002</v>
          </cell>
          <cell r="AH41">
            <v>-1.7809705166582E-2</v>
          </cell>
          <cell r="AI41">
            <v>1.3971373768643099E-2</v>
          </cell>
          <cell r="AJ41">
            <v>1.7832110055871001E-3</v>
          </cell>
          <cell r="AK41">
            <v>0.7772</v>
          </cell>
          <cell r="AL41">
            <v>5.8900000000000001E-2</v>
          </cell>
          <cell r="AM41">
            <v>0.27660000000000001</v>
          </cell>
          <cell r="AN41">
            <v>30</v>
          </cell>
          <cell r="AO41">
            <v>44.5</v>
          </cell>
          <cell r="AP41">
            <v>122.870184758603</v>
          </cell>
          <cell r="AQ41">
            <v>0.28999999999999998</v>
          </cell>
          <cell r="AR41">
            <v>62.89</v>
          </cell>
          <cell r="AS41">
            <v>0.7</v>
          </cell>
          <cell r="AT41">
            <v>10.99</v>
          </cell>
          <cell r="AU41">
            <v>0.04</v>
          </cell>
          <cell r="AV41">
            <v>112.2</v>
          </cell>
          <cell r="AW41">
            <v>33.6</v>
          </cell>
        </row>
        <row r="42">
          <cell r="A42" t="str">
            <v>RVm</v>
          </cell>
          <cell r="B42" t="str">
            <v>M</v>
          </cell>
          <cell r="C42">
            <v>41</v>
          </cell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>
            <v>-8.6999999999999994E-3</v>
          </cell>
          <cell r="Z42">
            <v>-0.19089999999999999</v>
          </cell>
          <cell r="AA42">
            <v>-0.19040000000000001</v>
          </cell>
          <cell r="AB42">
            <v>-2.3599999999999999E-2</v>
          </cell>
          <cell r="AC42">
            <v>-4.5499999999999999E-2</v>
          </cell>
          <cell r="AD42">
            <v>-1.29E-2</v>
          </cell>
          <cell r="AE42">
            <v>-6.8999999999999999E-3</v>
          </cell>
          <cell r="AF42">
            <v>7.5899999999999995E-2</v>
          </cell>
          <cell r="AG42">
            <v>6.8265000000000002</v>
          </cell>
          <cell r="AH42">
            <v>-1.7809705166582E-2</v>
          </cell>
          <cell r="AI42">
            <v>1.3971373768643099E-2</v>
          </cell>
          <cell r="AJ42">
            <v>1.7832110055871001E-3</v>
          </cell>
          <cell r="AK42">
            <v>0.7772</v>
          </cell>
          <cell r="AL42">
            <v>5.8900000000000001E-2</v>
          </cell>
          <cell r="AM42">
            <v>0.27660000000000001</v>
          </cell>
          <cell r="AN42">
            <v>30</v>
          </cell>
          <cell r="AO42">
            <v>44.5</v>
          </cell>
          <cell r="AP42">
            <v>122.870184758603</v>
          </cell>
          <cell r="AQ42">
            <v>0.28999999999999998</v>
          </cell>
          <cell r="AR42">
            <v>62.89</v>
          </cell>
          <cell r="AS42">
            <v>0.7</v>
          </cell>
          <cell r="AT42">
            <v>10.99</v>
          </cell>
          <cell r="AU42">
            <v>0.04</v>
          </cell>
          <cell r="AV42">
            <v>67</v>
          </cell>
          <cell r="AW42">
            <v>59</v>
          </cell>
        </row>
        <row r="43">
          <cell r="A43" t="str">
            <v>LV_mm</v>
          </cell>
          <cell r="B43" t="str">
            <v>M</v>
          </cell>
          <cell r="C43">
            <v>42</v>
          </cell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>
            <v>-8.6999999999999994E-3</v>
          </cell>
          <cell r="Z43">
            <v>-0.19089999999999999</v>
          </cell>
          <cell r="AA43">
            <v>-0.19040000000000001</v>
          </cell>
          <cell r="AB43">
            <v>-2.3599999999999999E-2</v>
          </cell>
          <cell r="AC43">
            <v>-4.5499999999999999E-2</v>
          </cell>
          <cell r="AD43">
            <v>-1.29E-2</v>
          </cell>
          <cell r="AE43">
            <v>-6.8999999999999999E-3</v>
          </cell>
          <cell r="AF43">
            <v>7.5899999999999995E-2</v>
          </cell>
          <cell r="AG43">
            <v>6.8265000000000002</v>
          </cell>
          <cell r="AH43">
            <v>-1.7809705166582E-2</v>
          </cell>
          <cell r="AI43">
            <v>1.3971373768643099E-2</v>
          </cell>
          <cell r="AJ43">
            <v>1.7832110055871001E-3</v>
          </cell>
          <cell r="AK43">
            <v>0.7772</v>
          </cell>
          <cell r="AL43">
            <v>5.8900000000000001E-2</v>
          </cell>
          <cell r="AM43">
            <v>0.27660000000000001</v>
          </cell>
          <cell r="AN43">
            <v>30</v>
          </cell>
          <cell r="AO43">
            <v>44.5</v>
          </cell>
          <cell r="AP43">
            <v>122.870184758603</v>
          </cell>
          <cell r="AQ43">
            <v>0.28999999999999998</v>
          </cell>
          <cell r="AR43">
            <v>62.89</v>
          </cell>
          <cell r="AS43">
            <v>0.7</v>
          </cell>
          <cell r="AT43">
            <v>10.99</v>
          </cell>
          <cell r="AU43">
            <v>0.04</v>
          </cell>
          <cell r="AV43">
            <v>162.4</v>
          </cell>
          <cell r="AW43">
            <v>94.2</v>
          </cell>
        </row>
        <row r="44">
          <cell r="A44" t="str">
            <v>LVm</v>
          </cell>
          <cell r="B44" t="str">
            <v>M</v>
          </cell>
          <cell r="C44">
            <v>43</v>
          </cell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>
            <v>-8.6999999999999994E-3</v>
          </cell>
          <cell r="Z44">
            <v>-0.19089999999999999</v>
          </cell>
          <cell r="AA44">
            <v>-0.19040000000000001</v>
          </cell>
          <cell r="AB44">
            <v>-2.3599999999999999E-2</v>
          </cell>
          <cell r="AC44">
            <v>-4.5499999999999999E-2</v>
          </cell>
          <cell r="AD44">
            <v>-1.29E-2</v>
          </cell>
          <cell r="AE44">
            <v>-6.8999999999999999E-3</v>
          </cell>
          <cell r="AF44">
            <v>7.5899999999999995E-2</v>
          </cell>
          <cell r="AG44">
            <v>6.8265000000000002</v>
          </cell>
          <cell r="AH44">
            <v>-1.7809705166582E-2</v>
          </cell>
          <cell r="AI44">
            <v>1.3971373768643099E-2</v>
          </cell>
          <cell r="AJ44">
            <v>1.7832110055871001E-3</v>
          </cell>
          <cell r="AK44">
            <v>0.7772</v>
          </cell>
          <cell r="AL44">
            <v>5.8900000000000001E-2</v>
          </cell>
          <cell r="AM44">
            <v>0.27660000000000001</v>
          </cell>
          <cell r="AN44">
            <v>30</v>
          </cell>
          <cell r="AO44">
            <v>44.5</v>
          </cell>
          <cell r="AP44">
            <v>122.870184758603</v>
          </cell>
          <cell r="AQ44">
            <v>0.28999999999999998</v>
          </cell>
          <cell r="AR44">
            <v>62.89</v>
          </cell>
          <cell r="AS44">
            <v>0.7</v>
          </cell>
          <cell r="AT44">
            <v>10.99</v>
          </cell>
          <cell r="AU44">
            <v>0.04</v>
          </cell>
          <cell r="AV44">
            <v>146.4</v>
          </cell>
          <cell r="AW44">
            <v>121.4</v>
          </cell>
        </row>
        <row r="45">
          <cell r="A45" t="str">
            <v>REF</v>
          </cell>
          <cell r="B45"/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>
            <v>-8.6999999999999994E-3</v>
          </cell>
          <cell r="Z45">
            <v>-0.19089999999999999</v>
          </cell>
          <cell r="AA45">
            <v>-0.19040000000000001</v>
          </cell>
          <cell r="AB45">
            <v>-2.3599999999999999E-2</v>
          </cell>
          <cell r="AC45">
            <v>-4.5499999999999999E-2</v>
          </cell>
          <cell r="AD45">
            <v>-1.29E-2</v>
          </cell>
          <cell r="AE45">
            <v>-6.8999999999999999E-3</v>
          </cell>
          <cell r="AF45">
            <v>7.5899999999999995E-2</v>
          </cell>
          <cell r="AG45">
            <v>6.8265000000000002</v>
          </cell>
          <cell r="AH45">
            <v>-3.32E-2</v>
          </cell>
          <cell r="AI45">
            <v>2.8000000000000001E-2</v>
          </cell>
          <cell r="AJ45">
            <v>2E-3</v>
          </cell>
          <cell r="AK45">
            <v>0.7772</v>
          </cell>
          <cell r="AL45">
            <v>5.8900000000000001E-2</v>
          </cell>
          <cell r="AM45">
            <v>0.27660000000000001</v>
          </cell>
          <cell r="AN45">
            <v>30</v>
          </cell>
          <cell r="AO45">
            <v>44.5</v>
          </cell>
          <cell r="AP45">
            <v>131.1</v>
          </cell>
          <cell r="AQ45"/>
          <cell r="AR45"/>
          <cell r="AS45"/>
          <cell r="AT45"/>
          <cell r="AU45"/>
          <cell r="AV45">
            <v>0</v>
          </cell>
          <cell r="AW4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2E8B-6B50-4920-81A8-723FC5B8A695}">
  <dimension ref="A1:AZ4"/>
  <sheetViews>
    <sheetView workbookViewId="0">
      <selection activeCell="AW4" sqref="AW4"/>
    </sheetView>
  </sheetViews>
  <sheetFormatPr defaultRowHeight="14.5" x14ac:dyDescent="0.35"/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14</v>
      </c>
      <c r="AO1" s="3" t="s">
        <v>13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10</v>
      </c>
    </row>
    <row r="2" spans="1:52" s="4" customFormat="1" x14ac:dyDescent="0.35">
      <c r="A2" s="4" t="s">
        <v>49</v>
      </c>
      <c r="B2" s="4" t="s">
        <v>50</v>
      </c>
      <c r="C2" s="4">
        <v>1</v>
      </c>
      <c r="Y2" s="4">
        <v>-8.6999999999999993</v>
      </c>
      <c r="Z2" s="4">
        <v>-190.89999999999998</v>
      </c>
      <c r="AA2" s="4">
        <v>-190.4</v>
      </c>
      <c r="AB2" s="4">
        <v>-23.599999999999998</v>
      </c>
      <c r="AC2" s="4">
        <v>-45.5</v>
      </c>
      <c r="AD2" s="4">
        <v>-12.9</v>
      </c>
      <c r="AE2" s="4">
        <v>-6.8999999999999995</v>
      </c>
      <c r="AF2" s="4">
        <v>75.899999999999991</v>
      </c>
      <c r="AG2" s="4">
        <v>6826.5</v>
      </c>
      <c r="AH2" s="4">
        <v>-17.809705166581999</v>
      </c>
      <c r="AI2" s="4">
        <v>13.971373768643099</v>
      </c>
      <c r="AJ2" s="4">
        <v>1.7832110055871</v>
      </c>
      <c r="AK2" s="4">
        <v>777.2</v>
      </c>
      <c r="AL2" s="4">
        <v>58.9</v>
      </c>
      <c r="AM2" s="4">
        <v>276.60000000000002</v>
      </c>
      <c r="AN2" s="4">
        <v>30</v>
      </c>
      <c r="AO2" s="4">
        <v>44.5</v>
      </c>
      <c r="AP2" s="4">
        <v>122.870184758603</v>
      </c>
      <c r="AQ2" s="4">
        <v>0.28999999999999998</v>
      </c>
      <c r="AR2" s="4">
        <v>62.89</v>
      </c>
      <c r="AS2" s="4">
        <v>0.7</v>
      </c>
      <c r="AT2" s="4">
        <v>10.99</v>
      </c>
      <c r="AU2" s="4">
        <v>0.04</v>
      </c>
      <c r="AV2" s="4">
        <v>60</v>
      </c>
      <c r="AW2" s="4">
        <v>60</v>
      </c>
      <c r="AY2" s="4">
        <v>277.60000000000002</v>
      </c>
      <c r="AZ2" s="4">
        <v>268.8</v>
      </c>
    </row>
    <row r="3" spans="1:52" s="4" customFormat="1" x14ac:dyDescent="0.35">
      <c r="A3" s="4" t="s">
        <v>51</v>
      </c>
      <c r="B3" s="4" t="s">
        <v>50</v>
      </c>
      <c r="C3" s="4">
        <v>2</v>
      </c>
      <c r="Y3" s="4">
        <v>-8.6999999999999993</v>
      </c>
      <c r="Z3" s="4">
        <v>-190.89999999999998</v>
      </c>
      <c r="AA3" s="4">
        <v>-190.4</v>
      </c>
      <c r="AB3" s="4">
        <v>-23.599999999999998</v>
      </c>
      <c r="AC3" s="4">
        <v>-45.5</v>
      </c>
      <c r="AD3" s="4">
        <v>-12.9</v>
      </c>
      <c r="AE3" s="4">
        <v>-6.8999999999999995</v>
      </c>
      <c r="AF3" s="4">
        <v>75.899999999999991</v>
      </c>
      <c r="AG3" s="4">
        <v>6826.5</v>
      </c>
      <c r="AH3" s="4">
        <v>-17.809705166581999</v>
      </c>
      <c r="AI3" s="4">
        <v>13.971373768643099</v>
      </c>
      <c r="AJ3" s="4">
        <v>1.7832110055871</v>
      </c>
      <c r="AK3" s="4">
        <v>777.2</v>
      </c>
      <c r="AL3" s="4">
        <v>58.9</v>
      </c>
      <c r="AM3" s="4">
        <v>276.60000000000002</v>
      </c>
      <c r="AN3" s="4">
        <v>30</v>
      </c>
      <c r="AO3" s="4">
        <v>44.5</v>
      </c>
      <c r="AP3" s="4">
        <v>122.870184758603</v>
      </c>
      <c r="AQ3" s="4">
        <v>0.28999999999999998</v>
      </c>
      <c r="AR3" s="4">
        <v>62.89</v>
      </c>
      <c r="AS3" s="4">
        <v>0.7</v>
      </c>
      <c r="AT3" s="4">
        <v>10.99</v>
      </c>
      <c r="AU3" s="4">
        <v>0.04</v>
      </c>
      <c r="AV3" s="4">
        <v>90</v>
      </c>
      <c r="AW3" s="4">
        <v>60</v>
      </c>
      <c r="AY3" s="4">
        <v>277.60000000000002</v>
      </c>
      <c r="AZ3" s="4">
        <v>268.8</v>
      </c>
    </row>
    <row r="4" spans="1:52" s="4" customFormat="1" x14ac:dyDescent="0.35">
      <c r="A4" s="4" t="s">
        <v>52</v>
      </c>
      <c r="B4" s="4" t="s">
        <v>50</v>
      </c>
      <c r="C4" s="4">
        <v>3</v>
      </c>
      <c r="Y4" s="4">
        <v>-8.6999999999999993</v>
      </c>
      <c r="Z4" s="4">
        <v>-190.89999999999998</v>
      </c>
      <c r="AA4" s="4">
        <v>-190.4</v>
      </c>
      <c r="AB4" s="4">
        <v>-23.599999999999998</v>
      </c>
      <c r="AC4" s="4">
        <v>-45.5</v>
      </c>
      <c r="AD4" s="4">
        <v>-12.9</v>
      </c>
      <c r="AE4" s="4">
        <v>-6.8999999999999995</v>
      </c>
      <c r="AF4" s="4">
        <v>75.899999999999991</v>
      </c>
      <c r="AG4" s="4">
        <v>6826.5</v>
      </c>
      <c r="AH4" s="4">
        <v>-17.809705166581999</v>
      </c>
      <c r="AI4" s="4">
        <v>13.971373768643099</v>
      </c>
      <c r="AJ4" s="4">
        <v>1.7832110055871</v>
      </c>
      <c r="AK4" s="4">
        <v>777.2</v>
      </c>
      <c r="AL4" s="4">
        <v>58.9</v>
      </c>
      <c r="AM4" s="4">
        <v>276.60000000000002</v>
      </c>
      <c r="AN4" s="4">
        <v>30</v>
      </c>
      <c r="AO4" s="4">
        <v>44.5</v>
      </c>
      <c r="AP4" s="4">
        <v>122.870184758603</v>
      </c>
      <c r="AQ4" s="4">
        <v>0.28999999999999998</v>
      </c>
      <c r="AR4" s="4">
        <v>62.89</v>
      </c>
      <c r="AS4" s="4">
        <v>0.7</v>
      </c>
      <c r="AT4" s="4">
        <v>10.99</v>
      </c>
      <c r="AU4" s="4">
        <v>0.04</v>
      </c>
      <c r="AV4" s="4">
        <v>120</v>
      </c>
      <c r="AW4" s="4">
        <v>60</v>
      </c>
      <c r="AY4" s="4">
        <v>277.60000000000002</v>
      </c>
      <c r="AZ4" s="4">
        <v>268.8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552D2-3A03-43F6-8D98-671934EB107C}">
  <dimension ref="A1:Y3"/>
  <sheetViews>
    <sheetView workbookViewId="0">
      <selection activeCell="Q7" sqref="Q7"/>
    </sheetView>
  </sheetViews>
  <sheetFormatPr defaultRowHeight="14.5" x14ac:dyDescent="0.35"/>
  <sheetData>
    <row r="1" spans="1:25" x14ac:dyDescent="0.35">
      <c r="A1" s="5" t="s">
        <v>53</v>
      </c>
      <c r="B1" s="5" t="s">
        <v>54</v>
      </c>
      <c r="C1" s="5" t="s">
        <v>55</v>
      </c>
      <c r="D1" s="5" t="s">
        <v>56</v>
      </c>
      <c r="E1" s="6" t="s">
        <v>57</v>
      </c>
      <c r="F1" s="5" t="s">
        <v>58</v>
      </c>
      <c r="G1" s="5" t="s">
        <v>59</v>
      </c>
      <c r="H1" s="5" t="s">
        <v>60</v>
      </c>
      <c r="I1" s="5" t="s">
        <v>61</v>
      </c>
      <c r="J1" s="5" t="s">
        <v>62</v>
      </c>
      <c r="K1" s="5" t="s">
        <v>63</v>
      </c>
      <c r="L1" s="5" t="s">
        <v>64</v>
      </c>
      <c r="M1" s="5" t="s">
        <v>65</v>
      </c>
      <c r="N1" s="5" t="s">
        <v>66</v>
      </c>
      <c r="O1" s="5" t="s">
        <v>67</v>
      </c>
      <c r="P1" s="7" t="s">
        <v>45</v>
      </c>
      <c r="Q1" s="7" t="s">
        <v>46</v>
      </c>
      <c r="R1" s="7" t="s">
        <v>45</v>
      </c>
      <c r="S1" s="7" t="s">
        <v>46</v>
      </c>
      <c r="T1" s="7" t="s">
        <v>68</v>
      </c>
      <c r="U1" s="7" t="s">
        <v>69</v>
      </c>
      <c r="V1" s="7" t="s">
        <v>70</v>
      </c>
      <c r="W1" s="7" t="s">
        <v>71</v>
      </c>
      <c r="X1" s="7" t="s">
        <v>69</v>
      </c>
      <c r="Y1" s="7" t="s">
        <v>70</v>
      </c>
    </row>
    <row r="2" spans="1:25" x14ac:dyDescent="0.35">
      <c r="A2" s="8" t="s">
        <v>49</v>
      </c>
      <c r="B2" s="7" t="s">
        <v>51</v>
      </c>
      <c r="C2" s="9">
        <v>1</v>
      </c>
      <c r="D2" s="9">
        <v>2</v>
      </c>
      <c r="E2" s="10">
        <v>1000</v>
      </c>
      <c r="F2" s="11">
        <v>1</v>
      </c>
      <c r="G2" s="11">
        <v>0.3</v>
      </c>
      <c r="H2" s="11">
        <v>62.89</v>
      </c>
      <c r="I2" s="11">
        <v>10.99</v>
      </c>
      <c r="J2" s="12">
        <v>1000</v>
      </c>
      <c r="K2" s="13">
        <v>1</v>
      </c>
      <c r="L2" s="13">
        <v>0.3</v>
      </c>
      <c r="M2" s="13">
        <v>62.89</v>
      </c>
      <c r="N2" s="13">
        <v>10.99</v>
      </c>
      <c r="O2" s="9">
        <v>50</v>
      </c>
      <c r="P2" s="7">
        <v>60</v>
      </c>
      <c r="Q2" s="7">
        <v>60</v>
      </c>
      <c r="R2" s="7">
        <v>90</v>
      </c>
      <c r="S2" s="7">
        <v>60</v>
      </c>
      <c r="T2" s="7">
        <f>SQRT((R2-P2)^2 + (S2-Q2)^2)</f>
        <v>30</v>
      </c>
      <c r="U2" s="7">
        <v>3.7787828728308798E-2</v>
      </c>
      <c r="V2" s="7">
        <v>3.7787828728308805E-2</v>
      </c>
    </row>
    <row r="3" spans="1:25" x14ac:dyDescent="0.35">
      <c r="A3" s="8" t="s">
        <v>51</v>
      </c>
      <c r="B3" s="7" t="s">
        <v>52</v>
      </c>
      <c r="C3" s="9">
        <v>2</v>
      </c>
      <c r="D3" s="9">
        <v>3</v>
      </c>
      <c r="E3" s="10">
        <v>1000</v>
      </c>
      <c r="F3" s="11">
        <v>1</v>
      </c>
      <c r="G3" s="11">
        <v>0.3</v>
      </c>
      <c r="H3" s="11">
        <v>62.89</v>
      </c>
      <c r="I3" s="11">
        <v>10.99</v>
      </c>
      <c r="J3" s="12">
        <v>1000</v>
      </c>
      <c r="K3" s="13">
        <v>1</v>
      </c>
      <c r="L3" s="13">
        <v>0.3</v>
      </c>
      <c r="M3" s="13">
        <v>62.89</v>
      </c>
      <c r="N3" s="13">
        <v>10.99</v>
      </c>
      <c r="O3" s="9">
        <v>50</v>
      </c>
      <c r="P3" s="7">
        <v>90</v>
      </c>
      <c r="Q3" s="7">
        <v>60</v>
      </c>
      <c r="R3" s="7">
        <v>120</v>
      </c>
      <c r="S3" s="7">
        <v>60</v>
      </c>
      <c r="T3" s="7">
        <f>SQRT((R3-P3)^2 + (S3-Q3)^2)</f>
        <v>30</v>
      </c>
      <c r="U3" s="7">
        <v>3.7787828728308805E-2</v>
      </c>
      <c r="V3" s="7">
        <v>3.7787828728308805E-2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280A-F296-4E17-957E-768181310808}">
  <dimension ref="A1:J9"/>
  <sheetViews>
    <sheetView tabSelected="1" workbookViewId="0">
      <selection activeCell="F19" sqref="F19"/>
    </sheetView>
  </sheetViews>
  <sheetFormatPr defaultRowHeight="14.5" x14ac:dyDescent="0.35"/>
  <sheetData>
    <row r="1" spans="1:10" x14ac:dyDescent="0.35">
      <c r="A1" t="s">
        <v>72</v>
      </c>
      <c r="B1" t="s">
        <v>2</v>
      </c>
      <c r="C1" t="s">
        <v>45</v>
      </c>
      <c r="D1" t="s">
        <v>46</v>
      </c>
      <c r="E1" t="s">
        <v>73</v>
      </c>
    </row>
    <row r="2" spans="1:10" x14ac:dyDescent="0.35">
      <c r="A2" t="s">
        <v>74</v>
      </c>
      <c r="B2">
        <v>1</v>
      </c>
      <c r="C2">
        <v>77.022105555423195</v>
      </c>
      <c r="D2">
        <v>102.74552181273501</v>
      </c>
      <c r="E2">
        <v>1</v>
      </c>
      <c r="F2">
        <f>SQRT((C3-C4)^2+(D3-D4)^2)</f>
        <v>9.0000004050001632</v>
      </c>
      <c r="G2" t="s">
        <v>75</v>
      </c>
      <c r="H2" s="14" t="s">
        <v>76</v>
      </c>
      <c r="I2">
        <f>VLOOKUP(H2,[1]Node!A:AW,48,FALSE)</f>
        <v>70.2</v>
      </c>
      <c r="J2">
        <f>VLOOKUP(H2,[1]Node!A:AW,49,FALSE)</f>
        <v>118.2</v>
      </c>
    </row>
    <row r="3" spans="1:10" x14ac:dyDescent="0.35">
      <c r="A3" t="s">
        <v>74</v>
      </c>
      <c r="B3">
        <v>2</v>
      </c>
      <c r="C3">
        <v>75.556250144485304</v>
      </c>
      <c r="D3">
        <v>106.467251162677</v>
      </c>
      <c r="E3">
        <v>1</v>
      </c>
      <c r="F3">
        <f>SQRT((C2-C3)^2+(D2-D3)^2)</f>
        <v>4.0000001799994411</v>
      </c>
      <c r="G3" t="s">
        <v>77</v>
      </c>
      <c r="H3" s="14" t="s">
        <v>78</v>
      </c>
      <c r="I3">
        <f>VLOOKUP(H3,[1]Node!A:AW,48,FALSE)</f>
        <v>79.400000000000006</v>
      </c>
      <c r="J3">
        <f>VLOOKUP(H3,[1]Node!A:AW,49,FALSE)</f>
        <v>107.8</v>
      </c>
    </row>
    <row r="4" spans="1:10" x14ac:dyDescent="0.35">
      <c r="A4" t="s">
        <v>79</v>
      </c>
      <c r="B4">
        <v>3</v>
      </c>
      <c r="C4">
        <v>72.258075469874996</v>
      </c>
      <c r="D4">
        <v>114.841142200048</v>
      </c>
      <c r="E4">
        <v>2</v>
      </c>
      <c r="F4">
        <f t="shared" ref="F4:F8" si="0">SQRT((C5-C4)^2+(D5-D4)^2)</f>
        <v>2.0000000899997024</v>
      </c>
      <c r="G4" t="s">
        <v>80</v>
      </c>
    </row>
    <row r="5" spans="1:10" x14ac:dyDescent="0.35">
      <c r="A5" t="s">
        <v>79</v>
      </c>
      <c r="B5">
        <v>4</v>
      </c>
      <c r="C5">
        <v>71.5251477644061</v>
      </c>
      <c r="D5">
        <v>116.70200687501899</v>
      </c>
      <c r="E5">
        <v>2</v>
      </c>
    </row>
    <row r="6" spans="1:10" x14ac:dyDescent="0.35">
      <c r="A6" t="s">
        <v>81</v>
      </c>
      <c r="B6">
        <v>5</v>
      </c>
      <c r="C6">
        <v>146.14901202656901</v>
      </c>
      <c r="D6">
        <v>52.157502287235403</v>
      </c>
      <c r="E6">
        <v>1</v>
      </c>
      <c r="F6">
        <f>SQRT((C7-C8)^2+(D7-D8)^2)</f>
        <v>9.0000822596236087</v>
      </c>
      <c r="G6" t="s">
        <v>82</v>
      </c>
      <c r="H6" s="15" t="s">
        <v>83</v>
      </c>
      <c r="I6">
        <f>VLOOKUP(H6,[1]Node!A:AW,48,FALSE)</f>
        <v>121.8</v>
      </c>
      <c r="J6">
        <f>VLOOKUP(H6,[1]Node!A:AW,49,FALSE)</f>
        <v>64.599999999999994</v>
      </c>
    </row>
    <row r="7" spans="1:10" x14ac:dyDescent="0.35">
      <c r="A7" t="s">
        <v>81</v>
      </c>
      <c r="B7">
        <v>6</v>
      </c>
      <c r="C7">
        <v>149.433176079595</v>
      </c>
      <c r="D7">
        <v>49.8739614067566</v>
      </c>
      <c r="E7">
        <v>1</v>
      </c>
      <c r="F7">
        <f>SQRT((C6-C7)^2+(D6-D7)^2)</f>
        <v>4.0000365598336725</v>
      </c>
      <c r="G7" t="s">
        <v>84</v>
      </c>
      <c r="H7" s="15" t="s">
        <v>85</v>
      </c>
      <c r="I7">
        <f>VLOOKUP(H7,[1]Node!A:AW,48,FALSE)</f>
        <v>160.20000000000002</v>
      </c>
      <c r="J7">
        <f>VLOOKUP(H7,[1]Node!A:AW,49,FALSE)</f>
        <v>42.599999999999994</v>
      </c>
    </row>
    <row r="8" spans="1:10" x14ac:dyDescent="0.35">
      <c r="A8" t="s">
        <v>86</v>
      </c>
      <c r="B8">
        <v>7</v>
      </c>
      <c r="C8">
        <v>156.822545198901</v>
      </c>
      <c r="D8">
        <v>44.7359944256795</v>
      </c>
      <c r="E8">
        <v>3</v>
      </c>
      <c r="F8">
        <f t="shared" si="0"/>
        <v>2.000018279916846</v>
      </c>
      <c r="G8" t="s">
        <v>87</v>
      </c>
    </row>
    <row r="9" spans="1:10" x14ac:dyDescent="0.35">
      <c r="A9" t="s">
        <v>86</v>
      </c>
      <c r="B9">
        <v>8</v>
      </c>
      <c r="C9">
        <v>158.46462722541401</v>
      </c>
      <c r="D9">
        <v>43.594223985440102</v>
      </c>
      <c r="E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</vt:lpstr>
      <vt:lpstr>Path</vt:lpstr>
      <vt:lpstr>Probe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Fenwick-Rose</dc:creator>
  <cp:lastModifiedBy>Rory Fenwick-Rose</cp:lastModifiedBy>
  <dcterms:created xsi:type="dcterms:W3CDTF">2025-12-09T21:28:54Z</dcterms:created>
  <dcterms:modified xsi:type="dcterms:W3CDTF">2025-12-10T01:31:56Z</dcterms:modified>
</cp:coreProperties>
</file>